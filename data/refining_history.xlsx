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Dell\Dropbox\Temporales\"/>
    </mc:Choice>
  </mc:AlternateContent>
  <xr:revisionPtr revIDLastSave="0" documentId="8_{49950607-D025-46C2-841B-1187676CBDCD}" xr6:coauthVersionLast="47" xr6:coauthVersionMax="47" xr10:uidLastSave="{00000000-0000-0000-0000-000000000000}"/>
  <bookViews>
    <workbookView xWindow="-108" yWindow="-108" windowWidth="23256" windowHeight="12576" xr2:uid="{D479F827-844D-44C3-A538-D90FE1F87F50}"/>
  </bookViews>
  <sheets>
    <sheet name="Hoja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B688" i="1" l="1"/>
  <c r="B687" i="1"/>
  <c r="G683" i="1" s="1"/>
  <c r="I683" i="1" s="1"/>
  <c r="M683" i="1" s="1"/>
  <c r="J685" i="1"/>
  <c r="H685" i="1"/>
  <c r="G685" i="1"/>
  <c r="I685" i="1" s="1"/>
  <c r="I684" i="1"/>
  <c r="J683" i="1"/>
  <c r="L683" i="1" s="1"/>
  <c r="H683" i="1"/>
  <c r="Q682" i="1"/>
  <c r="J682" i="1"/>
  <c r="H682" i="1"/>
  <c r="Q681" i="1"/>
  <c r="J681" i="1"/>
  <c r="H681" i="1"/>
  <c r="B675" i="1"/>
  <c r="B674" i="1"/>
  <c r="Q668" i="1" s="1"/>
  <c r="J672" i="1"/>
  <c r="H672" i="1"/>
  <c r="G672" i="1"/>
  <c r="I672" i="1" s="1"/>
  <c r="I671" i="1"/>
  <c r="J670" i="1"/>
  <c r="H670" i="1"/>
  <c r="G670" i="1"/>
  <c r="I670" i="1" s="1"/>
  <c r="Q669" i="1"/>
  <c r="J669" i="1"/>
  <c r="H669" i="1"/>
  <c r="G669" i="1"/>
  <c r="I669" i="1" s="1"/>
  <c r="J668" i="1"/>
  <c r="H668" i="1"/>
  <c r="G668" i="1"/>
  <c r="I668" i="1" s="1"/>
  <c r="B662" i="1"/>
  <c r="B661" i="1"/>
  <c r="G657" i="1" s="1"/>
  <c r="I657" i="1" s="1"/>
  <c r="J659" i="1"/>
  <c r="H659" i="1"/>
  <c r="I658" i="1"/>
  <c r="J657" i="1"/>
  <c r="H657" i="1"/>
  <c r="Q656" i="1"/>
  <c r="J656" i="1"/>
  <c r="H656" i="1"/>
  <c r="J655" i="1"/>
  <c r="H655" i="1"/>
  <c r="B649" i="1"/>
  <c r="B648" i="1"/>
  <c r="G644" i="1" s="1"/>
  <c r="I644" i="1" s="1"/>
  <c r="A648" i="1"/>
  <c r="A647" i="1"/>
  <c r="J646" i="1"/>
  <c r="H646" i="1"/>
  <c r="G646" i="1"/>
  <c r="I646" i="1" s="1"/>
  <c r="A646" i="1"/>
  <c r="I645" i="1"/>
  <c r="K644" i="1"/>
  <c r="K657" i="1" s="1"/>
  <c r="K670" i="1" s="1"/>
  <c r="K683" i="1" s="1"/>
  <c r="J644" i="1"/>
  <c r="L644" i="1" s="1"/>
  <c r="H644" i="1"/>
  <c r="A644" i="1"/>
  <c r="Q643" i="1"/>
  <c r="L643" i="1"/>
  <c r="K643" i="1"/>
  <c r="K656" i="1" s="1"/>
  <c r="K669" i="1" s="1"/>
  <c r="K682" i="1" s="1"/>
  <c r="J643" i="1"/>
  <c r="H643" i="1"/>
  <c r="A643" i="1"/>
  <c r="Q642" i="1"/>
  <c r="J642" i="1"/>
  <c r="I642" i="1"/>
  <c r="H642" i="1"/>
  <c r="G642" i="1"/>
  <c r="A642" i="1"/>
  <c r="A641" i="1"/>
  <c r="B636" i="1"/>
  <c r="A636" i="1"/>
  <c r="A649" i="1" s="1"/>
  <c r="A662" i="1" s="1"/>
  <c r="A675" i="1" s="1"/>
  <c r="A688" i="1" s="1"/>
  <c r="B635" i="1"/>
  <c r="K633" i="1"/>
  <c r="K646" i="1" s="1"/>
  <c r="J633" i="1"/>
  <c r="L633" i="1" s="1"/>
  <c r="H633" i="1"/>
  <c r="G633" i="1"/>
  <c r="I633" i="1" s="1"/>
  <c r="M633" i="1" s="1"/>
  <c r="K632" i="1"/>
  <c r="K645" i="1" s="1"/>
  <c r="I632" i="1"/>
  <c r="K631" i="1"/>
  <c r="J631" i="1"/>
  <c r="L631" i="1" s="1"/>
  <c r="H631" i="1"/>
  <c r="G631" i="1"/>
  <c r="I631" i="1" s="1"/>
  <c r="M631" i="1" s="1"/>
  <c r="Q630" i="1"/>
  <c r="K630" i="1"/>
  <c r="J630" i="1"/>
  <c r="L630" i="1" s="1"/>
  <c r="H630" i="1"/>
  <c r="G630" i="1"/>
  <c r="I630" i="1" s="1"/>
  <c r="M630" i="1" s="1"/>
  <c r="Q629" i="1"/>
  <c r="K629" i="1"/>
  <c r="K642" i="1" s="1"/>
  <c r="J629" i="1"/>
  <c r="L629" i="1" s="1"/>
  <c r="H629" i="1"/>
  <c r="G629" i="1"/>
  <c r="I629" i="1" s="1"/>
  <c r="B628" i="1"/>
  <c r="B641" i="1" s="1"/>
  <c r="B623" i="1"/>
  <c r="B622" i="1"/>
  <c r="G618" i="1" s="1"/>
  <c r="J620" i="1"/>
  <c r="L620" i="1" s="1"/>
  <c r="H620" i="1"/>
  <c r="G620" i="1"/>
  <c r="L619" i="1"/>
  <c r="I619" i="1"/>
  <c r="M619" i="1" s="1"/>
  <c r="L618" i="1"/>
  <c r="J618" i="1"/>
  <c r="I618" i="1"/>
  <c r="M618" i="1" s="1"/>
  <c r="H618" i="1"/>
  <c r="Q617" i="1"/>
  <c r="J617" i="1"/>
  <c r="L617" i="1" s="1"/>
  <c r="H617" i="1"/>
  <c r="G617" i="1"/>
  <c r="I617" i="1" s="1"/>
  <c r="M617" i="1" s="1"/>
  <c r="L616" i="1"/>
  <c r="J616" i="1"/>
  <c r="H616" i="1"/>
  <c r="G616" i="1"/>
  <c r="I616" i="1" s="1"/>
  <c r="M616" i="1" s="1"/>
  <c r="B616" i="1"/>
  <c r="B610" i="1"/>
  <c r="B609" i="1"/>
  <c r="J607" i="1"/>
  <c r="H607" i="1"/>
  <c r="I606" i="1"/>
  <c r="J605" i="1"/>
  <c r="H605" i="1"/>
  <c r="G605" i="1"/>
  <c r="I605" i="1" s="1"/>
  <c r="Q604" i="1"/>
  <c r="J604" i="1"/>
  <c r="H604" i="1"/>
  <c r="Q603" i="1"/>
  <c r="J603" i="1"/>
  <c r="H603" i="1"/>
  <c r="B597" i="1"/>
  <c r="Q596" i="1"/>
  <c r="B596" i="1"/>
  <c r="G590" i="1" s="1"/>
  <c r="I590" i="1" s="1"/>
  <c r="J594" i="1"/>
  <c r="H594" i="1"/>
  <c r="G594" i="1"/>
  <c r="I594" i="1" s="1"/>
  <c r="I593" i="1"/>
  <c r="J592" i="1"/>
  <c r="H592" i="1"/>
  <c r="G592" i="1"/>
  <c r="I592" i="1" s="1"/>
  <c r="Q591" i="1"/>
  <c r="J591" i="1"/>
  <c r="H591" i="1"/>
  <c r="G591" i="1"/>
  <c r="Q590" i="1"/>
  <c r="J590" i="1"/>
  <c r="H590" i="1"/>
  <c r="B584" i="1"/>
  <c r="B583" i="1"/>
  <c r="J581" i="1"/>
  <c r="H581" i="1"/>
  <c r="I580" i="1"/>
  <c r="J579" i="1"/>
  <c r="H579" i="1"/>
  <c r="Q578" i="1"/>
  <c r="J578" i="1"/>
  <c r="H578" i="1"/>
  <c r="J577" i="1"/>
  <c r="H577" i="1"/>
  <c r="B571" i="1"/>
  <c r="B570" i="1"/>
  <c r="G564" i="1" s="1"/>
  <c r="J568" i="1"/>
  <c r="H568" i="1"/>
  <c r="G568" i="1"/>
  <c r="I568" i="1" s="1"/>
  <c r="I567" i="1"/>
  <c r="J566" i="1"/>
  <c r="H566" i="1"/>
  <c r="G566" i="1"/>
  <c r="I566" i="1" s="1"/>
  <c r="Q565" i="1"/>
  <c r="J565" i="1"/>
  <c r="H565" i="1"/>
  <c r="I565" i="1" s="1"/>
  <c r="G565" i="1"/>
  <c r="Q564" i="1"/>
  <c r="J564" i="1"/>
  <c r="I564" i="1"/>
  <c r="H564" i="1"/>
  <c r="B558" i="1"/>
  <c r="B557" i="1"/>
  <c r="G553" i="1" s="1"/>
  <c r="J555" i="1"/>
  <c r="H555" i="1"/>
  <c r="I554" i="1"/>
  <c r="J553" i="1"/>
  <c r="H553" i="1"/>
  <c r="I553" i="1" s="1"/>
  <c r="Q552" i="1"/>
  <c r="J552" i="1"/>
  <c r="I552" i="1"/>
  <c r="H552" i="1"/>
  <c r="G552" i="1"/>
  <c r="Q551" i="1"/>
  <c r="J551" i="1"/>
  <c r="H551" i="1"/>
  <c r="G551" i="1"/>
  <c r="I551" i="1" s="1"/>
  <c r="B545" i="1"/>
  <c r="B544" i="1"/>
  <c r="G538" i="1" s="1"/>
  <c r="J542" i="1"/>
  <c r="H542" i="1"/>
  <c r="G542" i="1"/>
  <c r="I542" i="1" s="1"/>
  <c r="I541" i="1"/>
  <c r="J540" i="1"/>
  <c r="H540" i="1"/>
  <c r="G540" i="1"/>
  <c r="I540" i="1" s="1"/>
  <c r="Q539" i="1"/>
  <c r="J539" i="1"/>
  <c r="H539" i="1"/>
  <c r="G539" i="1"/>
  <c r="Q538" i="1"/>
  <c r="J538" i="1"/>
  <c r="I538" i="1"/>
  <c r="M538" i="1" s="1"/>
  <c r="H538" i="1"/>
  <c r="B538" i="1"/>
  <c r="B532" i="1"/>
  <c r="B531" i="1"/>
  <c r="Q525" i="1" s="1"/>
  <c r="J529" i="1"/>
  <c r="H529" i="1"/>
  <c r="G529" i="1"/>
  <c r="I529" i="1" s="1"/>
  <c r="I528" i="1"/>
  <c r="J527" i="1"/>
  <c r="H527" i="1"/>
  <c r="Q526" i="1"/>
  <c r="J526" i="1"/>
  <c r="H526" i="1"/>
  <c r="J525" i="1"/>
  <c r="H525" i="1"/>
  <c r="B519" i="1"/>
  <c r="B518" i="1"/>
  <c r="J516" i="1"/>
  <c r="I516" i="1"/>
  <c r="H516" i="1"/>
  <c r="G516" i="1"/>
  <c r="I515" i="1"/>
  <c r="J514" i="1"/>
  <c r="I514" i="1"/>
  <c r="H514" i="1"/>
  <c r="G514" i="1"/>
  <c r="Q513" i="1"/>
  <c r="J513" i="1"/>
  <c r="H513" i="1"/>
  <c r="G513" i="1"/>
  <c r="I513" i="1" s="1"/>
  <c r="Q512" i="1"/>
  <c r="K512" i="1"/>
  <c r="K525" i="1" s="1"/>
  <c r="K538" i="1" s="1"/>
  <c r="L538" i="1" s="1"/>
  <c r="J512" i="1"/>
  <c r="H512" i="1"/>
  <c r="I512" i="1" s="1"/>
  <c r="G512" i="1"/>
  <c r="B506" i="1"/>
  <c r="A506" i="1"/>
  <c r="A519" i="1" s="1"/>
  <c r="A532" i="1" s="1"/>
  <c r="A545" i="1" s="1"/>
  <c r="A558" i="1" s="1"/>
  <c r="A571" i="1" s="1"/>
  <c r="A584" i="1" s="1"/>
  <c r="A597" i="1" s="1"/>
  <c r="A610" i="1" s="1"/>
  <c r="B505" i="1"/>
  <c r="K503" i="1"/>
  <c r="K516" i="1" s="1"/>
  <c r="K529" i="1" s="1"/>
  <c r="K542" i="1" s="1"/>
  <c r="K555" i="1" s="1"/>
  <c r="J503" i="1"/>
  <c r="H503" i="1"/>
  <c r="K502" i="1"/>
  <c r="L502" i="1" s="1"/>
  <c r="M502" i="1" s="1"/>
  <c r="I502" i="1"/>
  <c r="L501" i="1"/>
  <c r="J501" i="1"/>
  <c r="H501" i="1"/>
  <c r="G501" i="1"/>
  <c r="Q500" i="1"/>
  <c r="J500" i="1"/>
  <c r="H500" i="1"/>
  <c r="Q499" i="1"/>
  <c r="J499" i="1"/>
  <c r="L499" i="1" s="1"/>
  <c r="I499" i="1"/>
  <c r="H499" i="1"/>
  <c r="G499" i="1"/>
  <c r="B493" i="1"/>
  <c r="A493" i="1"/>
  <c r="B492" i="1"/>
  <c r="A492" i="1"/>
  <c r="A505" i="1" s="1"/>
  <c r="A518" i="1" s="1"/>
  <c r="A531" i="1" s="1"/>
  <c r="A544" i="1" s="1"/>
  <c r="A557" i="1" s="1"/>
  <c r="A570" i="1" s="1"/>
  <c r="A583" i="1" s="1"/>
  <c r="A596" i="1" s="1"/>
  <c r="A609" i="1" s="1"/>
  <c r="A491" i="1"/>
  <c r="A504" i="1" s="1"/>
  <c r="A517" i="1" s="1"/>
  <c r="A530" i="1" s="1"/>
  <c r="A543" i="1" s="1"/>
  <c r="A556" i="1" s="1"/>
  <c r="A569" i="1" s="1"/>
  <c r="A582" i="1" s="1"/>
  <c r="A595" i="1" s="1"/>
  <c r="A608" i="1" s="1"/>
  <c r="K490" i="1"/>
  <c r="J490" i="1"/>
  <c r="L490" i="1" s="1"/>
  <c r="H490" i="1"/>
  <c r="G490" i="1"/>
  <c r="I490" i="1" s="1"/>
  <c r="M490" i="1" s="1"/>
  <c r="A490" i="1"/>
  <c r="A503" i="1" s="1"/>
  <c r="A516" i="1" s="1"/>
  <c r="A529" i="1" s="1"/>
  <c r="A542" i="1" s="1"/>
  <c r="A555" i="1" s="1"/>
  <c r="A568" i="1" s="1"/>
  <c r="A581" i="1" s="1"/>
  <c r="A594" i="1" s="1"/>
  <c r="A607" i="1" s="1"/>
  <c r="K489" i="1"/>
  <c r="L489" i="1" s="1"/>
  <c r="I489" i="1"/>
  <c r="K488" i="1"/>
  <c r="K501" i="1" s="1"/>
  <c r="K514" i="1" s="1"/>
  <c r="K527" i="1" s="1"/>
  <c r="J488" i="1"/>
  <c r="I488" i="1"/>
  <c r="H488" i="1"/>
  <c r="G488" i="1"/>
  <c r="A488" i="1"/>
  <c r="A501" i="1" s="1"/>
  <c r="A514" i="1" s="1"/>
  <c r="A527" i="1" s="1"/>
  <c r="A540" i="1" s="1"/>
  <c r="A553" i="1" s="1"/>
  <c r="A566" i="1" s="1"/>
  <c r="A579" i="1" s="1"/>
  <c r="A592" i="1" s="1"/>
  <c r="A605" i="1" s="1"/>
  <c r="Q487" i="1"/>
  <c r="L487" i="1"/>
  <c r="K487" i="1"/>
  <c r="K500" i="1" s="1"/>
  <c r="L500" i="1" s="1"/>
  <c r="J487" i="1"/>
  <c r="H487" i="1"/>
  <c r="G487" i="1"/>
  <c r="I487" i="1" s="1"/>
  <c r="A487" i="1"/>
  <c r="A500" i="1" s="1"/>
  <c r="A513" i="1" s="1"/>
  <c r="A526" i="1" s="1"/>
  <c r="A539" i="1" s="1"/>
  <c r="A552" i="1" s="1"/>
  <c r="A565" i="1" s="1"/>
  <c r="A578" i="1" s="1"/>
  <c r="A591" i="1" s="1"/>
  <c r="A604" i="1" s="1"/>
  <c r="Q486" i="1"/>
  <c r="L486" i="1"/>
  <c r="K486" i="1"/>
  <c r="K499" i="1" s="1"/>
  <c r="J486" i="1"/>
  <c r="H486" i="1"/>
  <c r="G486" i="1"/>
  <c r="A486" i="1"/>
  <c r="A499" i="1" s="1"/>
  <c r="A512" i="1" s="1"/>
  <c r="A525" i="1" s="1"/>
  <c r="A538" i="1" s="1"/>
  <c r="A551" i="1" s="1"/>
  <c r="A564" i="1" s="1"/>
  <c r="A577" i="1" s="1"/>
  <c r="A590" i="1" s="1"/>
  <c r="A603" i="1" s="1"/>
  <c r="B485" i="1"/>
  <c r="A485" i="1"/>
  <c r="A498" i="1" s="1"/>
  <c r="A511" i="1" s="1"/>
  <c r="A524" i="1" s="1"/>
  <c r="A537" i="1" s="1"/>
  <c r="A550" i="1" s="1"/>
  <c r="A563" i="1" s="1"/>
  <c r="A576" i="1" s="1"/>
  <c r="A589" i="1" s="1"/>
  <c r="A602" i="1" s="1"/>
  <c r="B480" i="1"/>
  <c r="B479" i="1"/>
  <c r="G475" i="1" s="1"/>
  <c r="L477" i="1"/>
  <c r="J477" i="1"/>
  <c r="I477" i="1"/>
  <c r="M477" i="1" s="1"/>
  <c r="H477" i="1"/>
  <c r="G477" i="1"/>
  <c r="L476" i="1"/>
  <c r="I476" i="1"/>
  <c r="M476" i="1" s="1"/>
  <c r="J475" i="1"/>
  <c r="L475" i="1" s="1"/>
  <c r="I475" i="1"/>
  <c r="M475" i="1" s="1"/>
  <c r="H475" i="1"/>
  <c r="Q474" i="1"/>
  <c r="L474" i="1"/>
  <c r="J474" i="1"/>
  <c r="H474" i="1"/>
  <c r="I474" i="1" s="1"/>
  <c r="M474" i="1" s="1"/>
  <c r="G474" i="1"/>
  <c r="L473" i="1"/>
  <c r="J473" i="1"/>
  <c r="H473" i="1"/>
  <c r="G473" i="1"/>
  <c r="I473" i="1" s="1"/>
  <c r="B473" i="1"/>
  <c r="B467" i="1"/>
  <c r="Q466" i="1"/>
  <c r="B466" i="1"/>
  <c r="A465" i="1"/>
  <c r="J464" i="1"/>
  <c r="H464" i="1"/>
  <c r="I463" i="1"/>
  <c r="J462" i="1"/>
  <c r="H462" i="1"/>
  <c r="Q461" i="1"/>
  <c r="J461" i="1"/>
  <c r="H461" i="1"/>
  <c r="Q460" i="1"/>
  <c r="J460" i="1"/>
  <c r="H460" i="1"/>
  <c r="G460" i="1"/>
  <c r="I460" i="1" s="1"/>
  <c r="B460" i="1"/>
  <c r="B459" i="1"/>
  <c r="B454" i="1"/>
  <c r="B453" i="1"/>
  <c r="G447" i="1" s="1"/>
  <c r="J451" i="1"/>
  <c r="H451" i="1"/>
  <c r="G451" i="1"/>
  <c r="I451" i="1" s="1"/>
  <c r="I450" i="1"/>
  <c r="J449" i="1"/>
  <c r="H449" i="1"/>
  <c r="G449" i="1"/>
  <c r="Q448" i="1"/>
  <c r="J448" i="1"/>
  <c r="I448" i="1"/>
  <c r="H448" i="1"/>
  <c r="G448" i="1"/>
  <c r="Q447" i="1"/>
  <c r="J447" i="1"/>
  <c r="I447" i="1"/>
  <c r="H447" i="1"/>
  <c r="B447" i="1"/>
  <c r="B441" i="1"/>
  <c r="B440" i="1"/>
  <c r="G435" i="1" s="1"/>
  <c r="I435" i="1" s="1"/>
  <c r="J438" i="1"/>
  <c r="H438" i="1"/>
  <c r="G438" i="1"/>
  <c r="I438" i="1" s="1"/>
  <c r="I437" i="1"/>
  <c r="J436" i="1"/>
  <c r="H436" i="1"/>
  <c r="G436" i="1"/>
  <c r="Q435" i="1"/>
  <c r="J435" i="1"/>
  <c r="H435" i="1"/>
  <c r="Q434" i="1"/>
  <c r="J434" i="1"/>
  <c r="H434" i="1"/>
  <c r="B428" i="1"/>
  <c r="B427" i="1"/>
  <c r="J425" i="1"/>
  <c r="H425" i="1"/>
  <c r="G425" i="1"/>
  <c r="I425" i="1" s="1"/>
  <c r="A425" i="1"/>
  <c r="A438" i="1" s="1"/>
  <c r="A451" i="1" s="1"/>
  <c r="A464" i="1" s="1"/>
  <c r="I424" i="1"/>
  <c r="J423" i="1"/>
  <c r="I423" i="1"/>
  <c r="H423" i="1"/>
  <c r="G423" i="1"/>
  <c r="Q422" i="1"/>
  <c r="J422" i="1"/>
  <c r="H422" i="1"/>
  <c r="G422" i="1"/>
  <c r="I422" i="1" s="1"/>
  <c r="Q421" i="1"/>
  <c r="J421" i="1"/>
  <c r="H421" i="1"/>
  <c r="G421" i="1"/>
  <c r="I421" i="1" s="1"/>
  <c r="B415" i="1"/>
  <c r="B414" i="1"/>
  <c r="G409" i="1" s="1"/>
  <c r="J412" i="1"/>
  <c r="H412" i="1"/>
  <c r="G412" i="1"/>
  <c r="I411" i="1"/>
  <c r="J410" i="1"/>
  <c r="H410" i="1"/>
  <c r="G410" i="1"/>
  <c r="I410" i="1" s="1"/>
  <c r="Q409" i="1"/>
  <c r="J409" i="1"/>
  <c r="I409" i="1"/>
  <c r="H409" i="1"/>
  <c r="Q408" i="1"/>
  <c r="J408" i="1"/>
  <c r="I408" i="1"/>
  <c r="H408" i="1"/>
  <c r="G408" i="1"/>
  <c r="B402" i="1"/>
  <c r="A402" i="1"/>
  <c r="A415" i="1" s="1"/>
  <c r="A428" i="1" s="1"/>
  <c r="A441" i="1" s="1"/>
  <c r="A454" i="1" s="1"/>
  <c r="A467" i="1" s="1"/>
  <c r="B401" i="1"/>
  <c r="A400" i="1"/>
  <c r="A413" i="1" s="1"/>
  <c r="A426" i="1" s="1"/>
  <c r="A439" i="1" s="1"/>
  <c r="A452" i="1" s="1"/>
  <c r="J399" i="1"/>
  <c r="H399" i="1"/>
  <c r="G399" i="1"/>
  <c r="I399" i="1" s="1"/>
  <c r="A399" i="1"/>
  <c r="A412" i="1" s="1"/>
  <c r="I398" i="1"/>
  <c r="K397" i="1"/>
  <c r="K410" i="1" s="1"/>
  <c r="J397" i="1"/>
  <c r="L397" i="1" s="1"/>
  <c r="H397" i="1"/>
  <c r="I397" i="1" s="1"/>
  <c r="G397" i="1"/>
  <c r="Q396" i="1"/>
  <c r="L396" i="1"/>
  <c r="K396" i="1"/>
  <c r="K409" i="1" s="1"/>
  <c r="L409" i="1" s="1"/>
  <c r="M409" i="1" s="1"/>
  <c r="J396" i="1"/>
  <c r="I396" i="1"/>
  <c r="M396" i="1" s="1"/>
  <c r="H396" i="1"/>
  <c r="G396" i="1"/>
  <c r="A396" i="1"/>
  <c r="A409" i="1" s="1"/>
  <c r="A422" i="1" s="1"/>
  <c r="A435" i="1" s="1"/>
  <c r="A448" i="1" s="1"/>
  <c r="A461" i="1" s="1"/>
  <c r="Q395" i="1"/>
  <c r="J395" i="1"/>
  <c r="H395" i="1"/>
  <c r="G395" i="1"/>
  <c r="I395" i="1" s="1"/>
  <c r="A395" i="1"/>
  <c r="A408" i="1" s="1"/>
  <c r="A421" i="1" s="1"/>
  <c r="A434" i="1" s="1"/>
  <c r="A447" i="1" s="1"/>
  <c r="A460" i="1" s="1"/>
  <c r="B394" i="1"/>
  <c r="B407" i="1" s="1"/>
  <c r="B420" i="1" s="1"/>
  <c r="B389" i="1"/>
  <c r="A389" i="1"/>
  <c r="B388" i="1"/>
  <c r="A388" i="1"/>
  <c r="A401" i="1" s="1"/>
  <c r="A414" i="1" s="1"/>
  <c r="A427" i="1" s="1"/>
  <c r="A440" i="1" s="1"/>
  <c r="A453" i="1" s="1"/>
  <c r="A466" i="1" s="1"/>
  <c r="A387" i="1"/>
  <c r="M386" i="1"/>
  <c r="L386" i="1"/>
  <c r="K386" i="1"/>
  <c r="K399" i="1" s="1"/>
  <c r="K412" i="1" s="1"/>
  <c r="K425" i="1" s="1"/>
  <c r="K438" i="1" s="1"/>
  <c r="J386" i="1"/>
  <c r="H386" i="1"/>
  <c r="G386" i="1"/>
  <c r="I386" i="1" s="1"/>
  <c r="A386" i="1"/>
  <c r="M385" i="1"/>
  <c r="L385" i="1"/>
  <c r="K385" i="1"/>
  <c r="K398" i="1" s="1"/>
  <c r="I385" i="1"/>
  <c r="K384" i="1"/>
  <c r="J384" i="1"/>
  <c r="L384" i="1" s="1"/>
  <c r="I384" i="1"/>
  <c r="M384" i="1" s="1"/>
  <c r="H384" i="1"/>
  <c r="G384" i="1"/>
  <c r="A384" i="1"/>
  <c r="A397" i="1" s="1"/>
  <c r="A410" i="1" s="1"/>
  <c r="A423" i="1" s="1"/>
  <c r="A436" i="1" s="1"/>
  <c r="A449" i="1" s="1"/>
  <c r="A462" i="1" s="1"/>
  <c r="Q383" i="1"/>
  <c r="K383" i="1"/>
  <c r="J383" i="1"/>
  <c r="L383" i="1" s="1"/>
  <c r="I383" i="1"/>
  <c r="H383" i="1"/>
  <c r="G383" i="1"/>
  <c r="A383" i="1"/>
  <c r="Q382" i="1"/>
  <c r="K382" i="1"/>
  <c r="K395" i="1" s="1"/>
  <c r="J382" i="1"/>
  <c r="H382" i="1"/>
  <c r="I382" i="1" s="1"/>
  <c r="G382" i="1"/>
  <c r="A382" i="1"/>
  <c r="B381" i="1"/>
  <c r="B382" i="1" s="1"/>
  <c r="A381" i="1"/>
  <c r="A394" i="1" s="1"/>
  <c r="A407" i="1" s="1"/>
  <c r="A420" i="1" s="1"/>
  <c r="A433" i="1" s="1"/>
  <c r="A446" i="1" s="1"/>
  <c r="A459" i="1" s="1"/>
  <c r="B376" i="1"/>
  <c r="B375" i="1"/>
  <c r="G369" i="1" s="1"/>
  <c r="I369" i="1" s="1"/>
  <c r="M369" i="1" s="1"/>
  <c r="L373" i="1"/>
  <c r="J373" i="1"/>
  <c r="H373" i="1"/>
  <c r="G373" i="1"/>
  <c r="I373" i="1" s="1"/>
  <c r="M373" i="1" s="1"/>
  <c r="M372" i="1"/>
  <c r="L372" i="1"/>
  <c r="I372" i="1"/>
  <c r="J371" i="1"/>
  <c r="L371" i="1" s="1"/>
  <c r="H371" i="1"/>
  <c r="G371" i="1"/>
  <c r="I371" i="1" s="1"/>
  <c r="Q370" i="1"/>
  <c r="L370" i="1"/>
  <c r="J370" i="1"/>
  <c r="H370" i="1"/>
  <c r="G370" i="1"/>
  <c r="I370" i="1" s="1"/>
  <c r="M370" i="1" s="1"/>
  <c r="Q369" i="1"/>
  <c r="L369" i="1"/>
  <c r="J369" i="1"/>
  <c r="H369" i="1"/>
  <c r="B369" i="1"/>
  <c r="B363" i="1"/>
  <c r="B362" i="1"/>
  <c r="G356" i="1" s="1"/>
  <c r="J360" i="1"/>
  <c r="H360" i="1"/>
  <c r="I359" i="1"/>
  <c r="J358" i="1"/>
  <c r="H358" i="1"/>
  <c r="G358" i="1"/>
  <c r="I358" i="1" s="1"/>
  <c r="Q357" i="1"/>
  <c r="J357" i="1"/>
  <c r="H357" i="1"/>
  <c r="G357" i="1"/>
  <c r="I357" i="1" s="1"/>
  <c r="Q356" i="1"/>
  <c r="J356" i="1"/>
  <c r="I356" i="1"/>
  <c r="H356" i="1"/>
  <c r="B356" i="1"/>
  <c r="B350" i="1"/>
  <c r="B349" i="1"/>
  <c r="Q343" i="1" s="1"/>
  <c r="J347" i="1"/>
  <c r="H347" i="1"/>
  <c r="I346" i="1"/>
  <c r="J345" i="1"/>
  <c r="H345" i="1"/>
  <c r="Q344" i="1"/>
  <c r="J344" i="1"/>
  <c r="H344" i="1"/>
  <c r="J343" i="1"/>
  <c r="H343" i="1"/>
  <c r="B343" i="1"/>
  <c r="B337" i="1"/>
  <c r="B336" i="1"/>
  <c r="J334" i="1"/>
  <c r="H334" i="1"/>
  <c r="G334" i="1"/>
  <c r="I334" i="1" s="1"/>
  <c r="I333" i="1"/>
  <c r="J332" i="1"/>
  <c r="I332" i="1"/>
  <c r="H332" i="1"/>
  <c r="G332" i="1"/>
  <c r="Q331" i="1"/>
  <c r="J331" i="1"/>
  <c r="I331" i="1"/>
  <c r="H331" i="1"/>
  <c r="G331" i="1"/>
  <c r="Q330" i="1"/>
  <c r="J330" i="1"/>
  <c r="H330" i="1"/>
  <c r="I330" i="1" s="1"/>
  <c r="G330" i="1"/>
  <c r="B330" i="1"/>
  <c r="B324" i="1"/>
  <c r="B323" i="1"/>
  <c r="G319" i="1" s="1"/>
  <c r="I319" i="1" s="1"/>
  <c r="J321" i="1"/>
  <c r="I321" i="1"/>
  <c r="H321" i="1"/>
  <c r="G321" i="1"/>
  <c r="I320" i="1"/>
  <c r="J319" i="1"/>
  <c r="H319" i="1"/>
  <c r="Q318" i="1"/>
  <c r="J318" i="1"/>
  <c r="H318" i="1"/>
  <c r="G318" i="1"/>
  <c r="I318" i="1" s="1"/>
  <c r="Q317" i="1"/>
  <c r="J317" i="1"/>
  <c r="H317" i="1"/>
  <c r="G317" i="1"/>
  <c r="I317" i="1" s="1"/>
  <c r="B317" i="1"/>
  <c r="B311" i="1"/>
  <c r="B310" i="1"/>
  <c r="J308" i="1"/>
  <c r="H308" i="1"/>
  <c r="G308" i="1"/>
  <c r="I308" i="1" s="1"/>
  <c r="I307" i="1"/>
  <c r="J306" i="1"/>
  <c r="H306" i="1"/>
  <c r="I306" i="1" s="1"/>
  <c r="G306" i="1"/>
  <c r="Q305" i="1"/>
  <c r="J305" i="1"/>
  <c r="I305" i="1"/>
  <c r="H305" i="1"/>
  <c r="G305" i="1"/>
  <c r="Q304" i="1"/>
  <c r="J304" i="1"/>
  <c r="H304" i="1"/>
  <c r="G304" i="1"/>
  <c r="I304" i="1" s="1"/>
  <c r="B304" i="1"/>
  <c r="B298" i="1"/>
  <c r="B297" i="1"/>
  <c r="J295" i="1"/>
  <c r="I295" i="1"/>
  <c r="H295" i="1"/>
  <c r="G295" i="1"/>
  <c r="I294" i="1"/>
  <c r="J293" i="1"/>
  <c r="H293" i="1"/>
  <c r="G293" i="1"/>
  <c r="I293" i="1" s="1"/>
  <c r="Q292" i="1"/>
  <c r="J292" i="1"/>
  <c r="I292" i="1"/>
  <c r="H292" i="1"/>
  <c r="G292" i="1"/>
  <c r="Q291" i="1"/>
  <c r="J291" i="1"/>
  <c r="I291" i="1"/>
  <c r="H291" i="1"/>
  <c r="G291" i="1"/>
  <c r="B291" i="1"/>
  <c r="B285" i="1"/>
  <c r="A285" i="1"/>
  <c r="A298" i="1" s="1"/>
  <c r="A311" i="1" s="1"/>
  <c r="A324" i="1" s="1"/>
  <c r="A337" i="1" s="1"/>
  <c r="A350" i="1" s="1"/>
  <c r="A363" i="1" s="1"/>
  <c r="B284" i="1"/>
  <c r="G282" i="1" s="1"/>
  <c r="J282" i="1"/>
  <c r="I282" i="1"/>
  <c r="H282" i="1"/>
  <c r="I281" i="1"/>
  <c r="J280" i="1"/>
  <c r="H280" i="1"/>
  <c r="Q279" i="1"/>
  <c r="J279" i="1"/>
  <c r="H279" i="1"/>
  <c r="A279" i="1"/>
  <c r="A292" i="1" s="1"/>
  <c r="A305" i="1" s="1"/>
  <c r="A318" i="1" s="1"/>
  <c r="A331" i="1" s="1"/>
  <c r="A344" i="1" s="1"/>
  <c r="A357" i="1" s="1"/>
  <c r="Q278" i="1"/>
  <c r="J278" i="1"/>
  <c r="H278" i="1"/>
  <c r="G278" i="1"/>
  <c r="I278" i="1" s="1"/>
  <c r="B278" i="1"/>
  <c r="B272" i="1"/>
  <c r="B271" i="1"/>
  <c r="G267" i="1" s="1"/>
  <c r="I267" i="1" s="1"/>
  <c r="A270" i="1"/>
  <c r="A283" i="1" s="1"/>
  <c r="A296" i="1" s="1"/>
  <c r="A309" i="1" s="1"/>
  <c r="A322" i="1" s="1"/>
  <c r="A335" i="1" s="1"/>
  <c r="A348" i="1" s="1"/>
  <c r="A361" i="1" s="1"/>
  <c r="J269" i="1"/>
  <c r="H269" i="1"/>
  <c r="A269" i="1"/>
  <c r="A282" i="1" s="1"/>
  <c r="A295" i="1" s="1"/>
  <c r="A308" i="1" s="1"/>
  <c r="A321" i="1" s="1"/>
  <c r="A334" i="1" s="1"/>
  <c r="A347" i="1" s="1"/>
  <c r="A360" i="1" s="1"/>
  <c r="I268" i="1"/>
  <c r="J267" i="1"/>
  <c r="H267" i="1"/>
  <c r="Q266" i="1"/>
  <c r="J266" i="1"/>
  <c r="H266" i="1"/>
  <c r="Q265" i="1"/>
  <c r="J265" i="1"/>
  <c r="H265" i="1"/>
  <c r="B265" i="1"/>
  <c r="A264" i="1"/>
  <c r="A277" i="1" s="1"/>
  <c r="A290" i="1" s="1"/>
  <c r="A303" i="1" s="1"/>
  <c r="A316" i="1" s="1"/>
  <c r="A329" i="1" s="1"/>
  <c r="A342" i="1" s="1"/>
  <c r="A355" i="1" s="1"/>
  <c r="B259" i="1"/>
  <c r="B258" i="1"/>
  <c r="G256" i="1" s="1"/>
  <c r="I256" i="1" s="1"/>
  <c r="M256" i="1" s="1"/>
  <c r="K256" i="1"/>
  <c r="K269" i="1" s="1"/>
  <c r="J256" i="1"/>
  <c r="L256" i="1" s="1"/>
  <c r="H256" i="1"/>
  <c r="K255" i="1"/>
  <c r="I255" i="1"/>
  <c r="J254" i="1"/>
  <c r="H254" i="1"/>
  <c r="G254" i="1"/>
  <c r="I254" i="1" s="1"/>
  <c r="Q253" i="1"/>
  <c r="J253" i="1"/>
  <c r="H253" i="1"/>
  <c r="G253" i="1"/>
  <c r="I253" i="1" s="1"/>
  <c r="Q252" i="1"/>
  <c r="J252" i="1"/>
  <c r="I252" i="1"/>
  <c r="H252" i="1"/>
  <c r="G252" i="1"/>
  <c r="B252" i="1"/>
  <c r="B246" i="1"/>
  <c r="A246" i="1"/>
  <c r="A259" i="1" s="1"/>
  <c r="A272" i="1" s="1"/>
  <c r="B245" i="1"/>
  <c r="A245" i="1"/>
  <c r="A258" i="1" s="1"/>
  <c r="A271" i="1" s="1"/>
  <c r="A284" i="1" s="1"/>
  <c r="A297" i="1" s="1"/>
  <c r="A310" i="1" s="1"/>
  <c r="A323" i="1" s="1"/>
  <c r="A336" i="1" s="1"/>
  <c r="A349" i="1" s="1"/>
  <c r="A362" i="1" s="1"/>
  <c r="A244" i="1"/>
  <c r="A257" i="1" s="1"/>
  <c r="K243" i="1"/>
  <c r="J243" i="1"/>
  <c r="L243" i="1" s="1"/>
  <c r="H243" i="1"/>
  <c r="A243" i="1"/>
  <c r="A256" i="1" s="1"/>
  <c r="K242" i="1"/>
  <c r="L242" i="1" s="1"/>
  <c r="I242" i="1"/>
  <c r="M242" i="1" s="1"/>
  <c r="L241" i="1"/>
  <c r="K241" i="1"/>
  <c r="K254" i="1" s="1"/>
  <c r="J241" i="1"/>
  <c r="H241" i="1"/>
  <c r="A241" i="1"/>
  <c r="A254" i="1" s="1"/>
  <c r="A267" i="1" s="1"/>
  <c r="A280" i="1" s="1"/>
  <c r="A293" i="1" s="1"/>
  <c r="A306" i="1" s="1"/>
  <c r="A319" i="1" s="1"/>
  <c r="A332" i="1" s="1"/>
  <c r="A345" i="1" s="1"/>
  <c r="A358" i="1" s="1"/>
  <c r="Q240" i="1"/>
  <c r="L240" i="1"/>
  <c r="K240" i="1"/>
  <c r="K253" i="1" s="1"/>
  <c r="K266" i="1" s="1"/>
  <c r="K279" i="1" s="1"/>
  <c r="J240" i="1"/>
  <c r="H240" i="1"/>
  <c r="A240" i="1"/>
  <c r="A253" i="1" s="1"/>
  <c r="A266" i="1" s="1"/>
  <c r="L239" i="1"/>
  <c r="K239" i="1"/>
  <c r="K252" i="1" s="1"/>
  <c r="J239" i="1"/>
  <c r="H239" i="1"/>
  <c r="B239" i="1"/>
  <c r="A239" i="1"/>
  <c r="A252" i="1" s="1"/>
  <c r="A265" i="1" s="1"/>
  <c r="A278" i="1" s="1"/>
  <c r="A291" i="1" s="1"/>
  <c r="A304" i="1" s="1"/>
  <c r="A317" i="1" s="1"/>
  <c r="A330" i="1" s="1"/>
  <c r="A343" i="1" s="1"/>
  <c r="A356" i="1" s="1"/>
  <c r="A238" i="1"/>
  <c r="A251" i="1" s="1"/>
  <c r="B233" i="1"/>
  <c r="B232" i="1"/>
  <c r="L230" i="1"/>
  <c r="J230" i="1"/>
  <c r="H230" i="1"/>
  <c r="I230" i="1" s="1"/>
  <c r="M230" i="1" s="1"/>
  <c r="G230" i="1"/>
  <c r="L229" i="1"/>
  <c r="I229" i="1"/>
  <c r="M229" i="1" s="1"/>
  <c r="J228" i="1"/>
  <c r="L228" i="1" s="1"/>
  <c r="I228" i="1"/>
  <c r="M228" i="1" s="1"/>
  <c r="H228" i="1"/>
  <c r="G228" i="1"/>
  <c r="Q227" i="1"/>
  <c r="L227" i="1"/>
  <c r="J227" i="1"/>
  <c r="H227" i="1"/>
  <c r="G227" i="1"/>
  <c r="Q226" i="1"/>
  <c r="J226" i="1"/>
  <c r="L226" i="1" s="1"/>
  <c r="M226" i="1" s="1"/>
  <c r="H226" i="1"/>
  <c r="G226" i="1"/>
  <c r="I226" i="1" s="1"/>
  <c r="B226" i="1"/>
  <c r="B220" i="1"/>
  <c r="B219" i="1"/>
  <c r="G217" i="1" s="1"/>
  <c r="I217" i="1" s="1"/>
  <c r="J217" i="1"/>
  <c r="H217" i="1"/>
  <c r="I216" i="1"/>
  <c r="J215" i="1"/>
  <c r="H215" i="1"/>
  <c r="G215" i="1"/>
  <c r="I215" i="1" s="1"/>
  <c r="Q214" i="1"/>
  <c r="J214" i="1"/>
  <c r="H214" i="1"/>
  <c r="G214" i="1"/>
  <c r="Q213" i="1"/>
  <c r="J213" i="1"/>
  <c r="I213" i="1"/>
  <c r="H213" i="1"/>
  <c r="G213" i="1"/>
  <c r="B213" i="1"/>
  <c r="B207" i="1"/>
  <c r="B206" i="1"/>
  <c r="Q200" i="1" s="1"/>
  <c r="J204" i="1"/>
  <c r="H204" i="1"/>
  <c r="I203" i="1"/>
  <c r="J202" i="1"/>
  <c r="H202" i="1"/>
  <c r="Q201" i="1"/>
  <c r="J201" i="1"/>
  <c r="H201" i="1"/>
  <c r="J200" i="1"/>
  <c r="H200" i="1"/>
  <c r="B200" i="1"/>
  <c r="B194" i="1"/>
  <c r="B193" i="1"/>
  <c r="G187" i="1" s="1"/>
  <c r="I187" i="1" s="1"/>
  <c r="J191" i="1"/>
  <c r="H191" i="1"/>
  <c r="I190" i="1"/>
  <c r="J189" i="1"/>
  <c r="I189" i="1"/>
  <c r="H189" i="1"/>
  <c r="G189" i="1"/>
  <c r="Q188" i="1"/>
  <c r="J188" i="1"/>
  <c r="I188" i="1"/>
  <c r="H188" i="1"/>
  <c r="G188" i="1"/>
  <c r="Q187" i="1"/>
  <c r="J187" i="1"/>
  <c r="H187" i="1"/>
  <c r="B187" i="1"/>
  <c r="B181" i="1"/>
  <c r="B180" i="1"/>
  <c r="G176" i="1" s="1"/>
  <c r="I176" i="1" s="1"/>
  <c r="J178" i="1"/>
  <c r="I178" i="1"/>
  <c r="H178" i="1"/>
  <c r="G178" i="1"/>
  <c r="I177" i="1"/>
  <c r="J176" i="1"/>
  <c r="H176" i="1"/>
  <c r="Q175" i="1"/>
  <c r="J175" i="1"/>
  <c r="H175" i="1"/>
  <c r="G175" i="1"/>
  <c r="I175" i="1" s="1"/>
  <c r="Q174" i="1"/>
  <c r="J174" i="1"/>
  <c r="H174" i="1"/>
  <c r="G174" i="1"/>
  <c r="B174" i="1"/>
  <c r="B168" i="1"/>
  <c r="B167" i="1"/>
  <c r="A167" i="1"/>
  <c r="A180" i="1" s="1"/>
  <c r="A193" i="1" s="1"/>
  <c r="A206" i="1" s="1"/>
  <c r="A219" i="1" s="1"/>
  <c r="A166" i="1"/>
  <c r="A179" i="1" s="1"/>
  <c r="A192" i="1" s="1"/>
  <c r="A205" i="1" s="1"/>
  <c r="A218" i="1" s="1"/>
  <c r="J165" i="1"/>
  <c r="H165" i="1"/>
  <c r="G165" i="1"/>
  <c r="I165" i="1" s="1"/>
  <c r="A165" i="1"/>
  <c r="A178" i="1" s="1"/>
  <c r="A191" i="1" s="1"/>
  <c r="A204" i="1" s="1"/>
  <c r="A217" i="1" s="1"/>
  <c r="I164" i="1"/>
  <c r="K163" i="1"/>
  <c r="K176" i="1" s="1"/>
  <c r="J163" i="1"/>
  <c r="L163" i="1" s="1"/>
  <c r="H163" i="1"/>
  <c r="I163" i="1" s="1"/>
  <c r="G163" i="1"/>
  <c r="Q162" i="1"/>
  <c r="L162" i="1"/>
  <c r="K162" i="1"/>
  <c r="K175" i="1" s="1"/>
  <c r="J162" i="1"/>
  <c r="I162" i="1"/>
  <c r="M162" i="1" s="1"/>
  <c r="H162" i="1"/>
  <c r="G162" i="1"/>
  <c r="Q161" i="1"/>
  <c r="M161" i="1"/>
  <c r="L161" i="1"/>
  <c r="K161" i="1"/>
  <c r="K174" i="1" s="1"/>
  <c r="L174" i="1" s="1"/>
  <c r="J161" i="1"/>
  <c r="H161" i="1"/>
  <c r="I161" i="1" s="1"/>
  <c r="G161" i="1"/>
  <c r="B161" i="1"/>
  <c r="A161" i="1"/>
  <c r="A174" i="1" s="1"/>
  <c r="A187" i="1" s="1"/>
  <c r="A200" i="1" s="1"/>
  <c r="A213" i="1" s="1"/>
  <c r="A160" i="1"/>
  <c r="A173" i="1" s="1"/>
  <c r="A186" i="1" s="1"/>
  <c r="A199" i="1" s="1"/>
  <c r="A212" i="1" s="1"/>
  <c r="B155" i="1"/>
  <c r="A155" i="1"/>
  <c r="A168" i="1" s="1"/>
  <c r="A181" i="1" s="1"/>
  <c r="A194" i="1" s="1"/>
  <c r="A207" i="1" s="1"/>
  <c r="A220" i="1" s="1"/>
  <c r="B154" i="1"/>
  <c r="A154" i="1"/>
  <c r="A153" i="1"/>
  <c r="L152" i="1"/>
  <c r="K152" i="1"/>
  <c r="K165" i="1" s="1"/>
  <c r="J152" i="1"/>
  <c r="I152" i="1"/>
  <c r="M152" i="1" s="1"/>
  <c r="H152" i="1"/>
  <c r="G152" i="1"/>
  <c r="A152" i="1"/>
  <c r="L151" i="1"/>
  <c r="K151" i="1"/>
  <c r="K164" i="1" s="1"/>
  <c r="I151" i="1"/>
  <c r="K150" i="1"/>
  <c r="L150" i="1" s="1"/>
  <c r="J150" i="1"/>
  <c r="H150" i="1"/>
  <c r="G150" i="1"/>
  <c r="A150" i="1"/>
  <c r="A163" i="1" s="1"/>
  <c r="A176" i="1" s="1"/>
  <c r="A189" i="1" s="1"/>
  <c r="A202" i="1" s="1"/>
  <c r="A215" i="1" s="1"/>
  <c r="Q149" i="1"/>
  <c r="L149" i="1"/>
  <c r="K149" i="1"/>
  <c r="J149" i="1"/>
  <c r="I149" i="1"/>
  <c r="M149" i="1" s="1"/>
  <c r="H149" i="1"/>
  <c r="G149" i="1"/>
  <c r="A149" i="1"/>
  <c r="A162" i="1" s="1"/>
  <c r="A175" i="1" s="1"/>
  <c r="A188" i="1" s="1"/>
  <c r="A201" i="1" s="1"/>
  <c r="A214" i="1" s="1"/>
  <c r="Q148" i="1"/>
  <c r="K148" i="1"/>
  <c r="J148" i="1"/>
  <c r="L148" i="1" s="1"/>
  <c r="I148" i="1"/>
  <c r="M148" i="1" s="1"/>
  <c r="H148" i="1"/>
  <c r="G148" i="1"/>
  <c r="B148" i="1"/>
  <c r="A148" i="1"/>
  <c r="A147" i="1"/>
  <c r="B142" i="1"/>
  <c r="B141" i="1"/>
  <c r="J139" i="1"/>
  <c r="L139" i="1" s="1"/>
  <c r="H139" i="1"/>
  <c r="L138" i="1"/>
  <c r="I138" i="1"/>
  <c r="L137" i="1"/>
  <c r="J137" i="1"/>
  <c r="H137" i="1"/>
  <c r="Q136" i="1"/>
  <c r="J136" i="1"/>
  <c r="L136" i="1" s="1"/>
  <c r="H136" i="1"/>
  <c r="L135" i="1"/>
  <c r="J135" i="1"/>
  <c r="H135" i="1"/>
  <c r="B135" i="1"/>
  <c r="B129" i="1"/>
  <c r="B128" i="1"/>
  <c r="G126" i="1" s="1"/>
  <c r="J126" i="1"/>
  <c r="I126" i="1"/>
  <c r="H126" i="1"/>
  <c r="I125" i="1"/>
  <c r="J124" i="1"/>
  <c r="H124" i="1"/>
  <c r="Q123" i="1"/>
  <c r="J123" i="1"/>
  <c r="H123" i="1"/>
  <c r="Q122" i="1"/>
  <c r="J122" i="1"/>
  <c r="H122" i="1"/>
  <c r="G122" i="1"/>
  <c r="I122" i="1" s="1"/>
  <c r="B116" i="1"/>
  <c r="B115" i="1"/>
  <c r="G111" i="1" s="1"/>
  <c r="I111" i="1" s="1"/>
  <c r="J113" i="1"/>
  <c r="H113" i="1"/>
  <c r="I112" i="1"/>
  <c r="J111" i="1"/>
  <c r="H111" i="1"/>
  <c r="Q110" i="1"/>
  <c r="J110" i="1"/>
  <c r="I110" i="1"/>
  <c r="H110" i="1"/>
  <c r="G110" i="1"/>
  <c r="Q109" i="1"/>
  <c r="J109" i="1"/>
  <c r="H109" i="1"/>
  <c r="B103" i="1"/>
  <c r="B102" i="1"/>
  <c r="J100" i="1"/>
  <c r="H100" i="1"/>
  <c r="I99" i="1"/>
  <c r="J98" i="1"/>
  <c r="H98" i="1"/>
  <c r="Q97" i="1"/>
  <c r="J97" i="1"/>
  <c r="H97" i="1"/>
  <c r="Q96" i="1"/>
  <c r="J96" i="1"/>
  <c r="H96" i="1"/>
  <c r="G96" i="1"/>
  <c r="I96" i="1" s="1"/>
  <c r="B90" i="1"/>
  <c r="B89" i="1"/>
  <c r="G85" i="1" s="1"/>
  <c r="I85" i="1" s="1"/>
  <c r="J87" i="1"/>
  <c r="H87" i="1"/>
  <c r="I86" i="1"/>
  <c r="J85" i="1"/>
  <c r="H85" i="1"/>
  <c r="Q84" i="1"/>
  <c r="J84" i="1"/>
  <c r="H84" i="1"/>
  <c r="Q83" i="1"/>
  <c r="K83" i="1"/>
  <c r="K96" i="1" s="1"/>
  <c r="K109" i="1" s="1"/>
  <c r="K122" i="1" s="1"/>
  <c r="J83" i="1"/>
  <c r="H83" i="1"/>
  <c r="B77" i="1"/>
  <c r="B76" i="1"/>
  <c r="J74" i="1"/>
  <c r="H74" i="1"/>
  <c r="I73" i="1"/>
  <c r="J72" i="1"/>
  <c r="H72" i="1"/>
  <c r="Q71" i="1"/>
  <c r="J71" i="1"/>
  <c r="H71" i="1"/>
  <c r="Q70" i="1"/>
  <c r="J70" i="1"/>
  <c r="H70" i="1"/>
  <c r="G70" i="1"/>
  <c r="I70" i="1" s="1"/>
  <c r="B64" i="1"/>
  <c r="B63" i="1"/>
  <c r="G59" i="1" s="1"/>
  <c r="I59" i="1" s="1"/>
  <c r="J61" i="1"/>
  <c r="H61" i="1"/>
  <c r="I60" i="1"/>
  <c r="J59" i="1"/>
  <c r="H59" i="1"/>
  <c r="Q58" i="1"/>
  <c r="J58" i="1"/>
  <c r="H58" i="1"/>
  <c r="Q57" i="1"/>
  <c r="K57" i="1"/>
  <c r="K70" i="1" s="1"/>
  <c r="J57" i="1"/>
  <c r="H57" i="1"/>
  <c r="B51" i="1"/>
  <c r="B50" i="1"/>
  <c r="G44" i="1" s="1"/>
  <c r="I44" i="1" s="1"/>
  <c r="J48" i="1"/>
  <c r="H48" i="1"/>
  <c r="I47" i="1"/>
  <c r="J46" i="1"/>
  <c r="H46" i="1"/>
  <c r="Q45" i="1"/>
  <c r="J45" i="1"/>
  <c r="H45" i="1"/>
  <c r="A45" i="1"/>
  <c r="A58" i="1" s="1"/>
  <c r="A71" i="1" s="1"/>
  <c r="A84" i="1" s="1"/>
  <c r="A97" i="1" s="1"/>
  <c r="A110" i="1" s="1"/>
  <c r="A123" i="1" s="1"/>
  <c r="J44" i="1"/>
  <c r="H44" i="1"/>
  <c r="A44" i="1"/>
  <c r="A57" i="1" s="1"/>
  <c r="A70" i="1" s="1"/>
  <c r="A83" i="1" s="1"/>
  <c r="A96" i="1" s="1"/>
  <c r="A109" i="1" s="1"/>
  <c r="A122" i="1" s="1"/>
  <c r="B38" i="1"/>
  <c r="B37" i="1"/>
  <c r="G33" i="1" s="1"/>
  <c r="J35" i="1"/>
  <c r="H35" i="1"/>
  <c r="L34" i="1"/>
  <c r="M34" i="1" s="1"/>
  <c r="I34" i="1"/>
  <c r="J33" i="1"/>
  <c r="I33" i="1"/>
  <c r="H33" i="1"/>
  <c r="Q32" i="1"/>
  <c r="J32" i="1"/>
  <c r="H32" i="1"/>
  <c r="Q31" i="1"/>
  <c r="K31" i="1"/>
  <c r="K44" i="1" s="1"/>
  <c r="J31" i="1"/>
  <c r="L31" i="1" s="1"/>
  <c r="H31" i="1"/>
  <c r="B25" i="1"/>
  <c r="A25" i="1"/>
  <c r="A38" i="1" s="1"/>
  <c r="A51" i="1" s="1"/>
  <c r="A64" i="1" s="1"/>
  <c r="A77" i="1" s="1"/>
  <c r="A90" i="1" s="1"/>
  <c r="A103" i="1" s="1"/>
  <c r="A116" i="1" s="1"/>
  <c r="A129" i="1" s="1"/>
  <c r="B24" i="1"/>
  <c r="A24" i="1"/>
  <c r="A37" i="1" s="1"/>
  <c r="A50" i="1" s="1"/>
  <c r="A63" i="1" s="1"/>
  <c r="A76" i="1" s="1"/>
  <c r="A89" i="1" s="1"/>
  <c r="A102" i="1" s="1"/>
  <c r="A115" i="1" s="1"/>
  <c r="A128" i="1" s="1"/>
  <c r="A23" i="1"/>
  <c r="A36" i="1" s="1"/>
  <c r="A49" i="1" s="1"/>
  <c r="A62" i="1" s="1"/>
  <c r="A75" i="1" s="1"/>
  <c r="A88" i="1" s="1"/>
  <c r="A101" i="1" s="1"/>
  <c r="A114" i="1" s="1"/>
  <c r="A127" i="1" s="1"/>
  <c r="L22" i="1"/>
  <c r="K22" i="1"/>
  <c r="K35" i="1" s="1"/>
  <c r="K48" i="1" s="1"/>
  <c r="J22" i="1"/>
  <c r="H22" i="1"/>
  <c r="A22" i="1"/>
  <c r="A35" i="1" s="1"/>
  <c r="A48" i="1" s="1"/>
  <c r="A61" i="1" s="1"/>
  <c r="A74" i="1" s="1"/>
  <c r="A87" i="1" s="1"/>
  <c r="A100" i="1" s="1"/>
  <c r="A113" i="1" s="1"/>
  <c r="A126" i="1" s="1"/>
  <c r="L21" i="1"/>
  <c r="M21" i="1" s="1"/>
  <c r="K21" i="1"/>
  <c r="K34" i="1" s="1"/>
  <c r="K47" i="1" s="1"/>
  <c r="I21" i="1"/>
  <c r="L20" i="1"/>
  <c r="K20" i="1"/>
  <c r="K33" i="1" s="1"/>
  <c r="J20" i="1"/>
  <c r="H20" i="1"/>
  <c r="A20" i="1"/>
  <c r="A33" i="1" s="1"/>
  <c r="A46" i="1" s="1"/>
  <c r="A59" i="1" s="1"/>
  <c r="A72" i="1" s="1"/>
  <c r="A85" i="1" s="1"/>
  <c r="A98" i="1" s="1"/>
  <c r="A111" i="1" s="1"/>
  <c r="A124" i="1" s="1"/>
  <c r="Q19" i="1"/>
  <c r="K19" i="1"/>
  <c r="L19" i="1" s="1"/>
  <c r="J19" i="1"/>
  <c r="H19" i="1"/>
  <c r="A19" i="1"/>
  <c r="A32" i="1" s="1"/>
  <c r="Q18" i="1"/>
  <c r="K18" i="1"/>
  <c r="J18" i="1"/>
  <c r="L18" i="1" s="1"/>
  <c r="H18" i="1"/>
  <c r="A18" i="1"/>
  <c r="A31" i="1" s="1"/>
  <c r="A17" i="1"/>
  <c r="A30" i="1" s="1"/>
  <c r="A43" i="1" s="1"/>
  <c r="A56" i="1" s="1"/>
  <c r="A69" i="1" s="1"/>
  <c r="A82" i="1" s="1"/>
  <c r="A95" i="1" s="1"/>
  <c r="A108" i="1" s="1"/>
  <c r="A121" i="1" s="1"/>
  <c r="B12" i="1"/>
  <c r="B11" i="1"/>
  <c r="L9" i="1"/>
  <c r="J9" i="1"/>
  <c r="H9" i="1"/>
  <c r="I9" i="1" s="1"/>
  <c r="M9" i="1" s="1"/>
  <c r="G9" i="1"/>
  <c r="L8" i="1"/>
  <c r="I8" i="1"/>
  <c r="M8" i="1" s="1"/>
  <c r="J7" i="1"/>
  <c r="L7" i="1" s="1"/>
  <c r="I7" i="1"/>
  <c r="H7" i="1"/>
  <c r="G7" i="1"/>
  <c r="Q6" i="1"/>
  <c r="J6" i="1"/>
  <c r="L6" i="1" s="1"/>
  <c r="I6" i="1"/>
  <c r="M6" i="1" s="1"/>
  <c r="H6" i="1"/>
  <c r="G6" i="1"/>
  <c r="Q5" i="1"/>
  <c r="L5" i="1"/>
  <c r="J5" i="1"/>
  <c r="H5" i="1"/>
  <c r="G5" i="1"/>
  <c r="M44" i="1" l="1"/>
  <c r="L642" i="1"/>
  <c r="K655" i="1"/>
  <c r="K668" i="1" s="1"/>
  <c r="K681" i="1" s="1"/>
  <c r="K659" i="1"/>
  <c r="L646" i="1"/>
  <c r="M646" i="1" s="1"/>
  <c r="M642" i="1"/>
  <c r="I5" i="1"/>
  <c r="M5" i="1" s="1"/>
  <c r="G22" i="1"/>
  <c r="I22" i="1" s="1"/>
  <c r="M22" i="1" s="1"/>
  <c r="G20" i="1"/>
  <c r="I20" i="1" s="1"/>
  <c r="M20" i="1" s="1"/>
  <c r="G19" i="1"/>
  <c r="I19" i="1" s="1"/>
  <c r="M19" i="1" s="1"/>
  <c r="I174" i="1"/>
  <c r="M174" i="1" s="1"/>
  <c r="I227" i="1"/>
  <c r="M227" i="1" s="1"/>
  <c r="L109" i="1"/>
  <c r="G48" i="1"/>
  <c r="I48" i="1" s="1"/>
  <c r="G46" i="1"/>
  <c r="I46" i="1" s="1"/>
  <c r="G45" i="1"/>
  <c r="I45" i="1" s="1"/>
  <c r="L175" i="1"/>
  <c r="K188" i="1"/>
  <c r="K201" i="1" s="1"/>
  <c r="K46" i="1"/>
  <c r="L33" i="1"/>
  <c r="L44" i="1"/>
  <c r="G74" i="1"/>
  <c r="I74" i="1" s="1"/>
  <c r="G72" i="1"/>
  <c r="I72" i="1" s="1"/>
  <c r="G71" i="1"/>
  <c r="I71" i="1" s="1"/>
  <c r="G135" i="1"/>
  <c r="I135" i="1" s="1"/>
  <c r="M135" i="1" s="1"/>
  <c r="G139" i="1"/>
  <c r="I139" i="1" s="1"/>
  <c r="M139" i="1" s="1"/>
  <c r="G136" i="1"/>
  <c r="I136" i="1" s="1"/>
  <c r="M136" i="1" s="1"/>
  <c r="G137" i="1"/>
  <c r="I137" i="1" s="1"/>
  <c r="M137" i="1" s="1"/>
  <c r="Q135" i="1"/>
  <c r="M151" i="1"/>
  <c r="L165" i="1"/>
  <c r="M165" i="1" s="1"/>
  <c r="K178" i="1"/>
  <c r="K191" i="1" s="1"/>
  <c r="L188" i="1"/>
  <c r="M188" i="1" s="1"/>
  <c r="G18" i="1"/>
  <c r="I18" i="1" s="1"/>
  <c r="M18" i="1" s="1"/>
  <c r="L35" i="1"/>
  <c r="Q44" i="1"/>
  <c r="L70" i="1"/>
  <c r="M70" i="1" s="1"/>
  <c r="G100" i="1"/>
  <c r="I100" i="1" s="1"/>
  <c r="G98" i="1"/>
  <c r="I98" i="1" s="1"/>
  <c r="G97" i="1"/>
  <c r="I97" i="1" s="1"/>
  <c r="L122" i="1"/>
  <c r="M122" i="1" s="1"/>
  <c r="L164" i="1"/>
  <c r="M164" i="1" s="1"/>
  <c r="K177" i="1"/>
  <c r="M163" i="1"/>
  <c r="L279" i="1"/>
  <c r="K292" i="1"/>
  <c r="G243" i="1"/>
  <c r="I243" i="1" s="1"/>
  <c r="M243" i="1" s="1"/>
  <c r="G241" i="1"/>
  <c r="I241" i="1" s="1"/>
  <c r="M241" i="1" s="1"/>
  <c r="G240" i="1"/>
  <c r="I240" i="1" s="1"/>
  <c r="M240" i="1" s="1"/>
  <c r="G239" i="1"/>
  <c r="I239" i="1" s="1"/>
  <c r="M239" i="1" s="1"/>
  <c r="Q239" i="1"/>
  <c r="K61" i="1"/>
  <c r="L48" i="1"/>
  <c r="M33" i="1"/>
  <c r="L96" i="1"/>
  <c r="M96" i="1" s="1"/>
  <c r="M175" i="1"/>
  <c r="M7" i="1"/>
  <c r="L57" i="1"/>
  <c r="L176" i="1"/>
  <c r="M176" i="1" s="1"/>
  <c r="K189" i="1"/>
  <c r="K187" i="1"/>
  <c r="K200" i="1" s="1"/>
  <c r="G204" i="1"/>
  <c r="I204" i="1" s="1"/>
  <c r="G202" i="1"/>
  <c r="I202" i="1" s="1"/>
  <c r="G201" i="1"/>
  <c r="I201" i="1" s="1"/>
  <c r="G200" i="1"/>
  <c r="I200" i="1" s="1"/>
  <c r="I214" i="1"/>
  <c r="K60" i="1"/>
  <c r="L47" i="1"/>
  <c r="M47" i="1" s="1"/>
  <c r="L83" i="1"/>
  <c r="M138" i="1"/>
  <c r="I150" i="1"/>
  <c r="M150" i="1" s="1"/>
  <c r="K265" i="1"/>
  <c r="L252" i="1"/>
  <c r="K32" i="1"/>
  <c r="K45" i="1" s="1"/>
  <c r="G123" i="1"/>
  <c r="I123" i="1" s="1"/>
  <c r="M253" i="1"/>
  <c r="K268" i="1"/>
  <c r="L255" i="1"/>
  <c r="M255" i="1" s="1"/>
  <c r="L412" i="1"/>
  <c r="G35" i="1"/>
  <c r="I35" i="1" s="1"/>
  <c r="M35" i="1" s="1"/>
  <c r="G61" i="1"/>
  <c r="I61" i="1" s="1"/>
  <c r="G87" i="1"/>
  <c r="I87" i="1" s="1"/>
  <c r="G113" i="1"/>
  <c r="I113" i="1" s="1"/>
  <c r="G124" i="1"/>
  <c r="I124" i="1" s="1"/>
  <c r="G191" i="1"/>
  <c r="I191" i="1" s="1"/>
  <c r="M383" i="1"/>
  <c r="M425" i="1"/>
  <c r="L555" i="1"/>
  <c r="K568" i="1"/>
  <c r="M514" i="1"/>
  <c r="L253" i="1"/>
  <c r="M371" i="1"/>
  <c r="G31" i="1"/>
  <c r="I31" i="1" s="1"/>
  <c r="M31" i="1" s="1"/>
  <c r="G57" i="1"/>
  <c r="I57" i="1" s="1"/>
  <c r="M57" i="1" s="1"/>
  <c r="G83" i="1"/>
  <c r="I83" i="1" s="1"/>
  <c r="M83" i="1" s="1"/>
  <c r="G109" i="1"/>
  <c r="I109" i="1" s="1"/>
  <c r="L269" i="1"/>
  <c r="K282" i="1"/>
  <c r="G347" i="1"/>
  <c r="I347" i="1" s="1"/>
  <c r="G345" i="1"/>
  <c r="I345" i="1" s="1"/>
  <c r="G344" i="1"/>
  <c r="I344" i="1" s="1"/>
  <c r="G343" i="1"/>
  <c r="I343" i="1" s="1"/>
  <c r="L382" i="1"/>
  <c r="M382" i="1" s="1"/>
  <c r="K451" i="1"/>
  <c r="L438" i="1"/>
  <c r="B421" i="1"/>
  <c r="B433" i="1"/>
  <c r="B434" i="1" s="1"/>
  <c r="M397" i="1"/>
  <c r="M438" i="1"/>
  <c r="K540" i="1"/>
  <c r="L527" i="1"/>
  <c r="M529" i="1"/>
  <c r="G581" i="1"/>
  <c r="I581" i="1" s="1"/>
  <c r="G579" i="1"/>
  <c r="I579" i="1" s="1"/>
  <c r="G578" i="1"/>
  <c r="I578" i="1" s="1"/>
  <c r="Q577" i="1"/>
  <c r="G577" i="1"/>
  <c r="I577" i="1" s="1"/>
  <c r="G32" i="1"/>
  <c r="I32" i="1" s="1"/>
  <c r="G58" i="1"/>
  <c r="I58" i="1" s="1"/>
  <c r="G84" i="1"/>
  <c r="I84" i="1" s="1"/>
  <c r="M254" i="1"/>
  <c r="L395" i="1"/>
  <c r="M395" i="1" s="1"/>
  <c r="K408" i="1"/>
  <c r="K421" i="1" s="1"/>
  <c r="L398" i="1"/>
  <c r="M398" i="1" s="1"/>
  <c r="K411" i="1"/>
  <c r="L254" i="1"/>
  <c r="K267" i="1"/>
  <c r="K280" i="1" s="1"/>
  <c r="M252" i="1"/>
  <c r="L266" i="1"/>
  <c r="L410" i="1"/>
  <c r="M410" i="1" s="1"/>
  <c r="K423" i="1"/>
  <c r="K436" i="1" s="1"/>
  <c r="M423" i="1"/>
  <c r="G269" i="1"/>
  <c r="I269" i="1" s="1"/>
  <c r="G279" i="1"/>
  <c r="I279" i="1" s="1"/>
  <c r="M279" i="1" s="1"/>
  <c r="B395" i="1"/>
  <c r="I436" i="1"/>
  <c r="G464" i="1"/>
  <c r="I464" i="1" s="1"/>
  <c r="G462" i="1"/>
  <c r="I462" i="1" s="1"/>
  <c r="G461" i="1"/>
  <c r="I461" i="1" s="1"/>
  <c r="I486" i="1"/>
  <c r="M486" i="1" s="1"/>
  <c r="M487" i="1"/>
  <c r="L514" i="1"/>
  <c r="L516" i="1"/>
  <c r="M516" i="1" s="1"/>
  <c r="L525" i="1"/>
  <c r="I591" i="1"/>
  <c r="L656" i="1"/>
  <c r="G280" i="1"/>
  <c r="I280" i="1" s="1"/>
  <c r="L399" i="1"/>
  <c r="M399" i="1" s="1"/>
  <c r="L423" i="1"/>
  <c r="L513" i="1"/>
  <c r="M513" i="1" s="1"/>
  <c r="M542" i="1"/>
  <c r="G265" i="1"/>
  <c r="I265" i="1" s="1"/>
  <c r="K422" i="1"/>
  <c r="K435" i="1" s="1"/>
  <c r="L425" i="1"/>
  <c r="L488" i="1"/>
  <c r="M488" i="1" s="1"/>
  <c r="L503" i="1"/>
  <c r="K513" i="1"/>
  <c r="K526" i="1" s="1"/>
  <c r="K515" i="1"/>
  <c r="L529" i="1"/>
  <c r="G604" i="1"/>
  <c r="I604" i="1" s="1"/>
  <c r="G603" i="1"/>
  <c r="I603" i="1" s="1"/>
  <c r="G607" i="1"/>
  <c r="I607" i="1" s="1"/>
  <c r="B654" i="1"/>
  <c r="B642" i="1"/>
  <c r="L670" i="1"/>
  <c r="M670" i="1" s="1"/>
  <c r="L681" i="1"/>
  <c r="G266" i="1"/>
  <c r="I266" i="1" s="1"/>
  <c r="G360" i="1"/>
  <c r="I360" i="1" s="1"/>
  <c r="B408" i="1"/>
  <c r="I412" i="1"/>
  <c r="M412" i="1" s="1"/>
  <c r="G434" i="1"/>
  <c r="I434" i="1" s="1"/>
  <c r="I449" i="1"/>
  <c r="G500" i="1"/>
  <c r="I500" i="1" s="1"/>
  <c r="M500" i="1" s="1"/>
  <c r="G503" i="1"/>
  <c r="I503" i="1" s="1"/>
  <c r="L542" i="1"/>
  <c r="L551" i="1"/>
  <c r="M551" i="1" s="1"/>
  <c r="B629" i="1"/>
  <c r="K658" i="1"/>
  <c r="L645" i="1"/>
  <c r="M645" i="1" s="1"/>
  <c r="M644" i="1"/>
  <c r="L657" i="1"/>
  <c r="M657" i="1" s="1"/>
  <c r="L668" i="1"/>
  <c r="M668" i="1" s="1"/>
  <c r="M473" i="1"/>
  <c r="G527" i="1"/>
  <c r="I527" i="1" s="1"/>
  <c r="M527" i="1" s="1"/>
  <c r="G526" i="1"/>
  <c r="I526" i="1" s="1"/>
  <c r="G525" i="1"/>
  <c r="I525" i="1" s="1"/>
  <c r="M525" i="1" s="1"/>
  <c r="K551" i="1"/>
  <c r="K564" i="1" s="1"/>
  <c r="I620" i="1"/>
  <c r="M620" i="1" s="1"/>
  <c r="M629" i="1"/>
  <c r="M669" i="1"/>
  <c r="M489" i="1"/>
  <c r="M499" i="1"/>
  <c r="L512" i="1"/>
  <c r="M512" i="1" s="1"/>
  <c r="I539" i="1"/>
  <c r="L682" i="1"/>
  <c r="B486" i="1"/>
  <c r="B498" i="1"/>
  <c r="I501" i="1"/>
  <c r="M501" i="1" s="1"/>
  <c r="L655" i="1"/>
  <c r="L669" i="1"/>
  <c r="G659" i="1"/>
  <c r="I659" i="1" s="1"/>
  <c r="Q473" i="1"/>
  <c r="G555" i="1"/>
  <c r="I555" i="1" s="1"/>
  <c r="M555" i="1" s="1"/>
  <c r="L632" i="1"/>
  <c r="M632" i="1" s="1"/>
  <c r="G643" i="1"/>
  <c r="I643" i="1" s="1"/>
  <c r="M643" i="1" s="1"/>
  <c r="G681" i="1"/>
  <c r="I681" i="1" s="1"/>
  <c r="G682" i="1"/>
  <c r="I682" i="1" s="1"/>
  <c r="M682" i="1" s="1"/>
  <c r="Q655" i="1"/>
  <c r="Q616" i="1"/>
  <c r="G655" i="1"/>
  <c r="I655" i="1" s="1"/>
  <c r="M655" i="1" s="1"/>
  <c r="G656" i="1"/>
  <c r="I656" i="1" s="1"/>
  <c r="M656" i="1" s="1"/>
  <c r="M265" i="1" l="1"/>
  <c r="L568" i="1"/>
  <c r="M568" i="1" s="1"/>
  <c r="K581" i="1"/>
  <c r="B499" i="1"/>
  <c r="B511" i="1"/>
  <c r="M436" i="1"/>
  <c r="K434" i="1"/>
  <c r="L421" i="1"/>
  <c r="M421" i="1" s="1"/>
  <c r="M109" i="1"/>
  <c r="L267" i="1"/>
  <c r="M267" i="1" s="1"/>
  <c r="K190" i="1"/>
  <c r="L177" i="1"/>
  <c r="M177" i="1" s="1"/>
  <c r="M48" i="1"/>
  <c r="M191" i="1"/>
  <c r="L32" i="1"/>
  <c r="L515" i="1"/>
  <c r="M515" i="1" s="1"/>
  <c r="K528" i="1"/>
  <c r="L422" i="1"/>
  <c r="M422" i="1" s="1"/>
  <c r="L45" i="1"/>
  <c r="K58" i="1"/>
  <c r="K74" i="1"/>
  <c r="L61" i="1"/>
  <c r="L201" i="1"/>
  <c r="M201" i="1" s="1"/>
  <c r="K214" i="1"/>
  <c r="L214" i="1" s="1"/>
  <c r="L280" i="1"/>
  <c r="M280" i="1" s="1"/>
  <c r="K293" i="1"/>
  <c r="M269" i="1"/>
  <c r="K449" i="1"/>
  <c r="L436" i="1"/>
  <c r="L659" i="1"/>
  <c r="M659" i="1" s="1"/>
  <c r="K672" i="1"/>
  <c r="L178" i="1"/>
  <c r="M178" i="1" s="1"/>
  <c r="K539" i="1"/>
  <c r="L526" i="1"/>
  <c r="M526" i="1" s="1"/>
  <c r="M681" i="1"/>
  <c r="K577" i="1"/>
  <c r="L564" i="1"/>
  <c r="M564" i="1" s="1"/>
  <c r="M503" i="1"/>
  <c r="M266" i="1"/>
  <c r="M32" i="1"/>
  <c r="L408" i="1"/>
  <c r="M408" i="1" s="1"/>
  <c r="L187" i="1"/>
  <c r="M187" i="1" s="1"/>
  <c r="K305" i="1"/>
  <c r="L292" i="1"/>
  <c r="M292" i="1" s="1"/>
  <c r="B655" i="1"/>
  <c r="B667" i="1"/>
  <c r="L658" i="1"/>
  <c r="M658" i="1" s="1"/>
  <c r="K671" i="1"/>
  <c r="M61" i="1"/>
  <c r="K278" i="1"/>
  <c r="L265" i="1"/>
  <c r="L200" i="1"/>
  <c r="M200" i="1" s="1"/>
  <c r="K213" i="1"/>
  <c r="L213" i="1" s="1"/>
  <c r="M213" i="1" s="1"/>
  <c r="L435" i="1"/>
  <c r="M435" i="1" s="1"/>
  <c r="K448" i="1"/>
  <c r="K424" i="1"/>
  <c r="L411" i="1"/>
  <c r="M411" i="1" s="1"/>
  <c r="L540" i="1"/>
  <c r="M540" i="1" s="1"/>
  <c r="K553" i="1"/>
  <c r="K464" i="1"/>
  <c r="L464" i="1" s="1"/>
  <c r="L451" i="1"/>
  <c r="M451" i="1" s="1"/>
  <c r="K295" i="1"/>
  <c r="L282" i="1"/>
  <c r="M282" i="1" s="1"/>
  <c r="K73" i="1"/>
  <c r="L60" i="1"/>
  <c r="M60" i="1" s="1"/>
  <c r="K202" i="1"/>
  <c r="L189" i="1"/>
  <c r="M189" i="1" s="1"/>
  <c r="K59" i="1"/>
  <c r="L46" i="1"/>
  <c r="M45" i="1"/>
  <c r="M464" i="1"/>
  <c r="L268" i="1"/>
  <c r="M268" i="1" s="1"/>
  <c r="K281" i="1"/>
  <c r="M214" i="1"/>
  <c r="L191" i="1"/>
  <c r="K204" i="1"/>
  <c r="M46" i="1"/>
  <c r="K306" i="1" l="1"/>
  <c r="L293" i="1"/>
  <c r="M293" i="1" s="1"/>
  <c r="K72" i="1"/>
  <c r="L59" i="1"/>
  <c r="M59" i="1" s="1"/>
  <c r="L672" i="1"/>
  <c r="M672" i="1" s="1"/>
  <c r="K685" i="1"/>
  <c r="L685" i="1" s="1"/>
  <c r="M685" i="1" s="1"/>
  <c r="K462" i="1"/>
  <c r="L462" i="1" s="1"/>
  <c r="M462" i="1" s="1"/>
  <c r="L449" i="1"/>
  <c r="M449" i="1" s="1"/>
  <c r="K294" i="1"/>
  <c r="L281" i="1"/>
  <c r="M281" i="1" s="1"/>
  <c r="L553" i="1"/>
  <c r="M553" i="1" s="1"/>
  <c r="K566" i="1"/>
  <c r="L671" i="1"/>
  <c r="M671" i="1" s="1"/>
  <c r="K684" i="1"/>
  <c r="L684" i="1" s="1"/>
  <c r="M684" i="1" s="1"/>
  <c r="K318" i="1"/>
  <c r="L305" i="1"/>
  <c r="M305" i="1" s="1"/>
  <c r="B524" i="1"/>
  <c r="B512" i="1"/>
  <c r="K215" i="1"/>
  <c r="L215" i="1" s="1"/>
  <c r="M215" i="1" s="1"/>
  <c r="L202" i="1"/>
  <c r="M202" i="1" s="1"/>
  <c r="L577" i="1"/>
  <c r="M577" i="1" s="1"/>
  <c r="K590" i="1"/>
  <c r="L528" i="1"/>
  <c r="M528" i="1" s="1"/>
  <c r="K541" i="1"/>
  <c r="K594" i="1"/>
  <c r="L581" i="1"/>
  <c r="M581" i="1" s="1"/>
  <c r="K86" i="1"/>
  <c r="L73" i="1"/>
  <c r="M73" i="1" s="1"/>
  <c r="L424" i="1"/>
  <c r="M424" i="1" s="1"/>
  <c r="K437" i="1"/>
  <c r="L278" i="1"/>
  <c r="M278" i="1" s="1"/>
  <c r="K291" i="1"/>
  <c r="B668" i="1"/>
  <c r="B680" i="1"/>
  <c r="B681" i="1" s="1"/>
  <c r="K87" i="1"/>
  <c r="L74" i="1"/>
  <c r="M74" i="1" s="1"/>
  <c r="K552" i="1"/>
  <c r="L539" i="1"/>
  <c r="M539" i="1" s="1"/>
  <c r="K447" i="1"/>
  <c r="L434" i="1"/>
  <c r="M434" i="1" s="1"/>
  <c r="L204" i="1"/>
  <c r="M204" i="1" s="1"/>
  <c r="K217" i="1"/>
  <c r="L217" i="1" s="1"/>
  <c r="M217" i="1" s="1"/>
  <c r="K308" i="1"/>
  <c r="L295" i="1"/>
  <c r="M295" i="1" s="1"/>
  <c r="L448" i="1"/>
  <c r="M448" i="1" s="1"/>
  <c r="K461" i="1"/>
  <c r="L461" i="1" s="1"/>
  <c r="M461" i="1" s="1"/>
  <c r="K71" i="1"/>
  <c r="L58" i="1"/>
  <c r="M58" i="1" s="1"/>
  <c r="L190" i="1"/>
  <c r="M190" i="1" s="1"/>
  <c r="K203" i="1"/>
  <c r="K304" i="1" l="1"/>
  <c r="L291" i="1"/>
  <c r="M291" i="1" s="1"/>
  <c r="K554" i="1"/>
  <c r="L541" i="1"/>
  <c r="M541" i="1" s="1"/>
  <c r="L71" i="1"/>
  <c r="M71" i="1" s="1"/>
  <c r="K84" i="1"/>
  <c r="K460" i="1"/>
  <c r="L460" i="1" s="1"/>
  <c r="M460" i="1" s="1"/>
  <c r="L447" i="1"/>
  <c r="M447" i="1" s="1"/>
  <c r="L318" i="1"/>
  <c r="M318" i="1" s="1"/>
  <c r="K331" i="1"/>
  <c r="K450" i="1"/>
  <c r="L437" i="1"/>
  <c r="M437" i="1" s="1"/>
  <c r="K579" i="1"/>
  <c r="L566" i="1"/>
  <c r="M566" i="1" s="1"/>
  <c r="K565" i="1"/>
  <c r="L552" i="1"/>
  <c r="M552" i="1" s="1"/>
  <c r="L308" i="1"/>
  <c r="M308" i="1" s="1"/>
  <c r="K321" i="1"/>
  <c r="K100" i="1"/>
  <c r="L87" i="1"/>
  <c r="M87" i="1" s="1"/>
  <c r="K99" i="1"/>
  <c r="L86" i="1"/>
  <c r="M86" i="1" s="1"/>
  <c r="K85" i="1"/>
  <c r="L72" i="1"/>
  <c r="M72" i="1" s="1"/>
  <c r="L203" i="1"/>
  <c r="M203" i="1" s="1"/>
  <c r="K216" i="1"/>
  <c r="L216" i="1" s="1"/>
  <c r="M216" i="1" s="1"/>
  <c r="K603" i="1"/>
  <c r="L603" i="1" s="1"/>
  <c r="M603" i="1" s="1"/>
  <c r="L590" i="1"/>
  <c r="M590" i="1" s="1"/>
  <c r="K607" i="1"/>
  <c r="L607" i="1" s="1"/>
  <c r="M607" i="1" s="1"/>
  <c r="L594" i="1"/>
  <c r="M594" i="1" s="1"/>
  <c r="B550" i="1"/>
  <c r="B525" i="1"/>
  <c r="K307" i="1"/>
  <c r="L294" i="1"/>
  <c r="M294" i="1" s="1"/>
  <c r="K319" i="1"/>
  <c r="L306" i="1"/>
  <c r="M306" i="1" s="1"/>
  <c r="B551" i="1" l="1"/>
  <c r="B563" i="1"/>
  <c r="K98" i="1"/>
  <c r="L85" i="1"/>
  <c r="M85" i="1" s="1"/>
  <c r="K578" i="1"/>
  <c r="L565" i="1"/>
  <c r="M565" i="1" s="1"/>
  <c r="K97" i="1"/>
  <c r="L84" i="1"/>
  <c r="M84" i="1" s="1"/>
  <c r="K112" i="1"/>
  <c r="L99" i="1"/>
  <c r="M99" i="1" s="1"/>
  <c r="K592" i="1"/>
  <c r="L579" i="1"/>
  <c r="M579" i="1" s="1"/>
  <c r="L319" i="1"/>
  <c r="M319" i="1" s="1"/>
  <c r="K332" i="1"/>
  <c r="K113" i="1"/>
  <c r="L100" i="1"/>
  <c r="M100" i="1" s="1"/>
  <c r="K463" i="1"/>
  <c r="L463" i="1" s="1"/>
  <c r="M463" i="1" s="1"/>
  <c r="L450" i="1"/>
  <c r="M450" i="1" s="1"/>
  <c r="K567" i="1"/>
  <c r="L554" i="1"/>
  <c r="M554" i="1" s="1"/>
  <c r="K334" i="1"/>
  <c r="L321" i="1"/>
  <c r="M321" i="1" s="1"/>
  <c r="K344" i="1"/>
  <c r="L331" i="1"/>
  <c r="M331" i="1" s="1"/>
  <c r="L307" i="1"/>
  <c r="M307" i="1" s="1"/>
  <c r="K320" i="1"/>
  <c r="L304" i="1"/>
  <c r="M304" i="1" s="1"/>
  <c r="K317" i="1"/>
  <c r="L567" i="1" l="1"/>
  <c r="M567" i="1" s="1"/>
  <c r="K580" i="1"/>
  <c r="B576" i="1"/>
  <c r="B564" i="1"/>
  <c r="L344" i="1"/>
  <c r="M344" i="1" s="1"/>
  <c r="K357" i="1"/>
  <c r="L357" i="1" s="1"/>
  <c r="M357" i="1" s="1"/>
  <c r="L113" i="1"/>
  <c r="M113" i="1" s="1"/>
  <c r="K126" i="1"/>
  <c r="L126" i="1" s="1"/>
  <c r="M126" i="1" s="1"/>
  <c r="L97" i="1"/>
  <c r="M97" i="1" s="1"/>
  <c r="K110" i="1"/>
  <c r="K111" i="1"/>
  <c r="L98" i="1"/>
  <c r="M98" i="1" s="1"/>
  <c r="K333" i="1"/>
  <c r="L320" i="1"/>
  <c r="M320" i="1" s="1"/>
  <c r="K345" i="1"/>
  <c r="L332" i="1"/>
  <c r="M332" i="1" s="1"/>
  <c r="K330" i="1"/>
  <c r="L317" i="1"/>
  <c r="M317" i="1" s="1"/>
  <c r="L592" i="1"/>
  <c r="M592" i="1" s="1"/>
  <c r="K605" i="1"/>
  <c r="L605" i="1" s="1"/>
  <c r="M605" i="1" s="1"/>
  <c r="L112" i="1"/>
  <c r="M112" i="1" s="1"/>
  <c r="K125" i="1"/>
  <c r="L125" i="1" s="1"/>
  <c r="M125" i="1" s="1"/>
  <c r="L334" i="1"/>
  <c r="M334" i="1" s="1"/>
  <c r="K347" i="1"/>
  <c r="K591" i="1"/>
  <c r="L578" i="1"/>
  <c r="M578" i="1" s="1"/>
  <c r="K604" i="1" l="1"/>
  <c r="L604" i="1" s="1"/>
  <c r="M604" i="1" s="1"/>
  <c r="L591" i="1"/>
  <c r="M591" i="1" s="1"/>
  <c r="K358" i="1"/>
  <c r="L358" i="1" s="1"/>
  <c r="M358" i="1" s="1"/>
  <c r="L345" i="1"/>
  <c r="M345" i="1" s="1"/>
  <c r="L333" i="1"/>
  <c r="M333" i="1" s="1"/>
  <c r="K346" i="1"/>
  <c r="K343" i="1"/>
  <c r="L330" i="1"/>
  <c r="M330" i="1" s="1"/>
  <c r="K124" i="1"/>
  <c r="L124" i="1" s="1"/>
  <c r="M124" i="1" s="1"/>
  <c r="L111" i="1"/>
  <c r="M111" i="1" s="1"/>
  <c r="B589" i="1"/>
  <c r="B577" i="1"/>
  <c r="K360" i="1"/>
  <c r="L360" i="1" s="1"/>
  <c r="M360" i="1" s="1"/>
  <c r="L347" i="1"/>
  <c r="M347" i="1" s="1"/>
  <c r="K123" i="1"/>
  <c r="L123" i="1" s="1"/>
  <c r="M123" i="1" s="1"/>
  <c r="L110" i="1"/>
  <c r="M110" i="1" s="1"/>
  <c r="L580" i="1"/>
  <c r="M580" i="1" s="1"/>
  <c r="K593" i="1"/>
  <c r="L343" i="1" l="1"/>
  <c r="M343" i="1" s="1"/>
  <c r="K356" i="1"/>
  <c r="L356" i="1" s="1"/>
  <c r="M356" i="1" s="1"/>
  <c r="L346" i="1"/>
  <c r="M346" i="1" s="1"/>
  <c r="K359" i="1"/>
  <c r="L359" i="1" s="1"/>
  <c r="M359" i="1" s="1"/>
  <c r="L593" i="1"/>
  <c r="M593" i="1" s="1"/>
  <c r="K606" i="1"/>
  <c r="L606" i="1" s="1"/>
  <c r="M606" i="1" s="1"/>
  <c r="B590" i="1"/>
  <c r="B602" i="1"/>
  <c r="B603" i="1" s="1"/>
</calcChain>
</file>

<file path=xl/sharedStrings.xml><?xml version="1.0" encoding="utf-8"?>
<sst xmlns="http://schemas.openxmlformats.org/spreadsheetml/2006/main" count="1708" uniqueCount="90">
  <si>
    <t>Precio Actual:</t>
  </si>
  <si>
    <t>CU:</t>
  </si>
  <si>
    <t>AU:</t>
  </si>
  <si>
    <t>AG:</t>
  </si>
  <si>
    <t>PD:</t>
  </si>
  <si>
    <t>Receptive Information</t>
  </si>
  <si>
    <t>Information of metal composition</t>
  </si>
  <si>
    <t>Processing charge</t>
  </si>
  <si>
    <t>Arrival date</t>
  </si>
  <si>
    <t>Grade (g/t)</t>
  </si>
  <si>
    <t>Content</t>
  </si>
  <si>
    <t>RR</t>
  </si>
  <si>
    <t>Recovered weight</t>
  </si>
  <si>
    <t xml:space="preserve">Base Price </t>
  </si>
  <si>
    <t>Unit price (RC)</t>
  </si>
  <si>
    <t>Unit price (Metal)</t>
  </si>
  <si>
    <t>Amount</t>
  </si>
  <si>
    <t>Description</t>
  </si>
  <si>
    <t>Unit price</t>
  </si>
  <si>
    <t>Receptive date</t>
  </si>
  <si>
    <t>CU</t>
  </si>
  <si>
    <t>Kg.</t>
  </si>
  <si>
    <t>T/C</t>
  </si>
  <si>
    <t>600.00/Dt</t>
  </si>
  <si>
    <t>Customer lot No.</t>
  </si>
  <si>
    <t>AU</t>
  </si>
  <si>
    <t>g/t</t>
  </si>
  <si>
    <t>Shredding charge</t>
  </si>
  <si>
    <t>Lot No. (JX)</t>
  </si>
  <si>
    <t>AG</t>
  </si>
  <si>
    <t>PT</t>
  </si>
  <si>
    <t>WMT</t>
  </si>
  <si>
    <t>PD</t>
  </si>
  <si>
    <t>Moisture</t>
  </si>
  <si>
    <t>DMT</t>
  </si>
  <si>
    <t>Minimum lot charge</t>
  </si>
  <si>
    <t>Resultado USD / Kg</t>
  </si>
  <si>
    <t>Moisture penalty</t>
  </si>
  <si>
    <t>6 + 8*33%</t>
  </si>
  <si>
    <t>37 + 38</t>
  </si>
  <si>
    <t>11</t>
  </si>
  <si>
    <t>25</t>
  </si>
  <si>
    <t>54</t>
  </si>
  <si>
    <t>16</t>
  </si>
  <si>
    <t>50</t>
  </si>
  <si>
    <t>106 + 107 + 108</t>
  </si>
  <si>
    <t xml:space="preserve"> </t>
  </si>
  <si>
    <t>53</t>
  </si>
  <si>
    <t>11 + 41*(20%)</t>
  </si>
  <si>
    <t>15 + 22*(8%) + 26*(2%)</t>
  </si>
  <si>
    <t>9</t>
  </si>
  <si>
    <t>12 + 998</t>
  </si>
  <si>
    <t>3 + 4 + 9*(10%)</t>
  </si>
  <si>
    <t>29 + 30 + 31 + 32 + 33</t>
  </si>
  <si>
    <t>27</t>
  </si>
  <si>
    <t>70i</t>
  </si>
  <si>
    <t>15 + 22*(6%)</t>
  </si>
  <si>
    <t>71i</t>
  </si>
  <si>
    <t>72i</t>
  </si>
  <si>
    <t>73i</t>
  </si>
  <si>
    <t>74i</t>
  </si>
  <si>
    <t>6</t>
  </si>
  <si>
    <t>75i</t>
  </si>
  <si>
    <t>76i</t>
  </si>
  <si>
    <t>78i</t>
  </si>
  <si>
    <t>79i</t>
  </si>
  <si>
    <t>80i</t>
  </si>
  <si>
    <t>28</t>
  </si>
  <si>
    <t>82i</t>
  </si>
  <si>
    <t>65i</t>
  </si>
  <si>
    <t>15 + 22*(8%)</t>
  </si>
  <si>
    <t>66i</t>
  </si>
  <si>
    <t>67i</t>
  </si>
  <si>
    <t>68i</t>
  </si>
  <si>
    <t>69i</t>
  </si>
  <si>
    <t>Boards T1 + Cable Box 3 Chips + PIII 3 BGA</t>
  </si>
  <si>
    <t>49</t>
  </si>
  <si>
    <t>77i</t>
  </si>
  <si>
    <t>Credicar / Credit Card Reader Boards</t>
  </si>
  <si>
    <t>52</t>
  </si>
  <si>
    <t>81i</t>
  </si>
  <si>
    <t>83i</t>
  </si>
  <si>
    <t>85i</t>
  </si>
  <si>
    <t>15 + 22*(6%) + 11*(21%)</t>
  </si>
  <si>
    <t>86i</t>
  </si>
  <si>
    <t>87i</t>
  </si>
  <si>
    <t>1*(28%) + 2*(58%) + 14*(14%)</t>
  </si>
  <si>
    <t>88i</t>
  </si>
  <si>
    <t>89i</t>
  </si>
  <si>
    <t>90i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</si>
</sst>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(* #,##0.00_);_(* \(#,##0.00\);_(* &quot;-&quot;??_);_(@_)"/>
  </numFmts>
  <fonts count="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2"/>
        <bgColor indexed="64"/>
      </patternFill>
    </fill>
    <fill>
      <patternFill patternType="solid">
        <fgColor rgb="FFFFFF00"/>
        <bgColor indexed="64"/>
      </patternFill>
    </fill>
  </fills>
  <borders count="6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21">
    <xf numFmtId="0" fontId="0" fillId="0" borderId="0" xfId="0"/>
    <xf numFmtId="0" fontId="2" fillId="0" borderId="1" xfId="0" applyFont="1" applyBorder="1"/>
    <xf numFmtId="0" fontId="2" fillId="0" borderId="2" xfId="0" applyFont="1" applyBorder="1" applyAlignment="1">
      <alignment horizontal="center"/>
    </xf>
    <xf numFmtId="43" fontId="2" fillId="0" borderId="3" xfId="1" applyFont="1" applyBorder="1" applyAlignment="1">
      <alignment horizontal="center"/>
    </xf>
    <xf numFmtId="0" fontId="2" fillId="0" borderId="3" xfId="0" applyFont="1" applyBorder="1" applyAlignment="1">
      <alignment horizontal="center"/>
    </xf>
    <xf numFmtId="43" fontId="2" fillId="0" borderId="4" xfId="1" applyFont="1" applyBorder="1" applyAlignment="1">
      <alignment horizontal="center"/>
    </xf>
    <xf numFmtId="0" fontId="0" fillId="2" borderId="5" xfId="0" applyFill="1" applyBorder="1" applyAlignment="1">
      <alignment horizontal="center"/>
    </xf>
    <xf numFmtId="0" fontId="0" fillId="2" borderId="5" xfId="0" applyFill="1" applyBorder="1"/>
    <xf numFmtId="14" fontId="0" fillId="0" borderId="5" xfId="0" applyNumberFormat="1" applyBorder="1"/>
    <xf numFmtId="0" fontId="0" fillId="2" borderId="5" xfId="0" applyFill="1" applyBorder="1" applyAlignment="1">
      <alignment horizontal="center"/>
    </xf>
    <xf numFmtId="0" fontId="0" fillId="0" borderId="0" xfId="0" applyAlignment="1">
      <alignment horizontal="center"/>
    </xf>
    <xf numFmtId="0" fontId="0" fillId="0" borderId="5" xfId="0" applyBorder="1"/>
    <xf numFmtId="10" fontId="0" fillId="0" borderId="5" xfId="0" applyNumberFormat="1" applyBorder="1"/>
    <xf numFmtId="43" fontId="0" fillId="0" borderId="5" xfId="1" applyFont="1" applyBorder="1"/>
    <xf numFmtId="0" fontId="0" fillId="0" borderId="5" xfId="0" applyBorder="1" applyAlignment="1">
      <alignment horizontal="right"/>
    </xf>
    <xf numFmtId="10" fontId="0" fillId="0" borderId="5" xfId="2" applyNumberFormat="1" applyFont="1" applyBorder="1"/>
    <xf numFmtId="0" fontId="2" fillId="2" borderId="5" xfId="0" applyFont="1" applyFill="1" applyBorder="1"/>
    <xf numFmtId="43" fontId="0" fillId="0" borderId="5" xfId="0" applyNumberFormat="1" applyBorder="1"/>
    <xf numFmtId="0" fontId="2" fillId="2" borderId="5" xfId="0" quotePrefix="1" applyFont="1" applyFill="1" applyBorder="1"/>
    <xf numFmtId="43" fontId="0" fillId="3" borderId="5" xfId="1" applyFont="1" applyFill="1" applyBorder="1"/>
    <xf numFmtId="43" fontId="0" fillId="0" borderId="0" xfId="0" applyNumberFormat="1"/>
  </cellXfs>
  <cellStyles count="3">
    <cellStyle name="Millares" xfId="1" builtinId="3"/>
    <cellStyle name="Normal" xfId="0" builtinId="0"/>
    <cellStyle name="Porcentaje" xfId="2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496C10-226D-418D-8BAC-A826AD800597}">
  <dimension ref="A1:Q690"/>
  <sheetViews>
    <sheetView tabSelected="1" workbookViewId="0">
      <selection sqref="A1:Q692"/>
    </sheetView>
  </sheetViews>
  <sheetFormatPr baseColWidth="10" defaultRowHeight="14.4" x14ac:dyDescent="0.3"/>
  <cols>
    <col min="1" max="1" width="36.33203125" bestFit="1" customWidth="1"/>
    <col min="3" max="3" width="4.44140625" customWidth="1"/>
  </cols>
  <sheetData>
    <row r="1" spans="1:17" ht="15" thickBot="1" x14ac:dyDescent="0.35">
      <c r="D1" s="1" t="s">
        <v>0</v>
      </c>
      <c r="F1" s="2" t="s">
        <v>1</v>
      </c>
      <c r="G1" s="3">
        <v>11803.79</v>
      </c>
      <c r="H1" s="4" t="s">
        <v>2</v>
      </c>
      <c r="I1" s="3">
        <v>4500</v>
      </c>
      <c r="J1" s="4" t="s">
        <v>3</v>
      </c>
      <c r="K1" s="3">
        <v>64.34</v>
      </c>
      <c r="L1" s="4" t="s">
        <v>4</v>
      </c>
      <c r="M1" s="5">
        <v>1569</v>
      </c>
    </row>
    <row r="3" spans="1:17" x14ac:dyDescent="0.3">
      <c r="A3" s="6" t="s">
        <v>5</v>
      </c>
      <c r="B3" s="6"/>
      <c r="D3" s="6" t="s">
        <v>6</v>
      </c>
      <c r="E3" s="6"/>
      <c r="F3" s="6"/>
      <c r="G3" s="6"/>
      <c r="H3" s="6"/>
      <c r="I3" s="6"/>
      <c r="J3" s="6"/>
      <c r="K3" s="6"/>
      <c r="L3" s="6"/>
      <c r="M3" s="6"/>
      <c r="O3" s="6" t="s">
        <v>7</v>
      </c>
      <c r="P3" s="6"/>
      <c r="Q3" s="6"/>
    </row>
    <row r="4" spans="1:17" x14ac:dyDescent="0.3">
      <c r="A4" s="7" t="s">
        <v>8</v>
      </c>
      <c r="B4" s="8">
        <v>45680</v>
      </c>
      <c r="D4" s="6" t="s">
        <v>9</v>
      </c>
      <c r="E4" s="6"/>
      <c r="F4" s="6"/>
      <c r="G4" s="9" t="s">
        <v>10</v>
      </c>
      <c r="H4" s="9" t="s">
        <v>11</v>
      </c>
      <c r="I4" s="9" t="s">
        <v>12</v>
      </c>
      <c r="J4" s="9" t="s">
        <v>13</v>
      </c>
      <c r="K4" s="9" t="s">
        <v>14</v>
      </c>
      <c r="L4" s="9" t="s">
        <v>15</v>
      </c>
      <c r="M4" s="9" t="s">
        <v>16</v>
      </c>
      <c r="N4" s="10"/>
      <c r="O4" s="9" t="s">
        <v>17</v>
      </c>
      <c r="P4" s="9" t="s">
        <v>18</v>
      </c>
      <c r="Q4" s="9" t="s">
        <v>16</v>
      </c>
    </row>
    <row r="5" spans="1:17" x14ac:dyDescent="0.3">
      <c r="A5" s="7" t="s">
        <v>19</v>
      </c>
      <c r="B5" s="8">
        <v>45680</v>
      </c>
      <c r="D5" s="11" t="s">
        <v>20</v>
      </c>
      <c r="E5" s="11" t="s">
        <v>21</v>
      </c>
      <c r="F5" s="12">
        <v>0.21129999999999999</v>
      </c>
      <c r="G5" s="13">
        <f>+F5*B11</f>
        <v>1085.5207871999999</v>
      </c>
      <c r="H5" s="12">
        <f>+IF(F5&gt;=20,(F5-3%)/F5,IF(F5&gt;=23,(F5-5.16%)/F5,(F5-3%)/F5))</f>
        <v>0.85802176999526736</v>
      </c>
      <c r="I5" s="13">
        <f>+G5*H5</f>
        <v>931.40046719999987</v>
      </c>
      <c r="J5" s="13">
        <f>+$G$1</f>
        <v>11803.79</v>
      </c>
      <c r="K5" s="13">
        <v>300</v>
      </c>
      <c r="L5" s="13">
        <f>+J5-K5</f>
        <v>11503.79</v>
      </c>
      <c r="M5" s="13">
        <f>+I5*L5/1000</f>
        <v>10714.635380570688</v>
      </c>
      <c r="O5" s="7" t="s">
        <v>22</v>
      </c>
      <c r="P5" s="14" t="s">
        <v>23</v>
      </c>
      <c r="Q5" s="13">
        <f>600*B11/1000</f>
        <v>3082.4063999999998</v>
      </c>
    </row>
    <row r="6" spans="1:17" x14ac:dyDescent="0.3">
      <c r="A6" s="7" t="s">
        <v>24</v>
      </c>
      <c r="B6" s="11">
        <v>861</v>
      </c>
      <c r="D6" s="11" t="s">
        <v>25</v>
      </c>
      <c r="E6" s="11" t="s">
        <v>26</v>
      </c>
      <c r="F6" s="13">
        <v>84.4</v>
      </c>
      <c r="G6" s="13">
        <f>+B11/1000*F6</f>
        <v>433.59183360000003</v>
      </c>
      <c r="H6" s="12">
        <f>+MIN(0.96,(F6-7)/F6)</f>
        <v>0.91706161137440756</v>
      </c>
      <c r="I6" s="13">
        <f t="shared" ref="I6:I9" si="0">+G6*H6</f>
        <v>397.63042560000002</v>
      </c>
      <c r="J6" s="13">
        <f>+$I$1</f>
        <v>4500</v>
      </c>
      <c r="K6" s="13">
        <v>5</v>
      </c>
      <c r="L6" s="13">
        <f t="shared" ref="L6:L9" si="1">+J6-K6</f>
        <v>4495</v>
      </c>
      <c r="M6" s="13">
        <f>+I6*L6/31.1034768</f>
        <v>57464.597111278577</v>
      </c>
      <c r="O6" s="7" t="s">
        <v>27</v>
      </c>
      <c r="P6" s="11">
        <v>100</v>
      </c>
      <c r="Q6" s="13">
        <f>+B9*P6/1000</f>
        <v>518.4</v>
      </c>
    </row>
    <row r="7" spans="1:17" x14ac:dyDescent="0.3">
      <c r="A7" s="7" t="s">
        <v>28</v>
      </c>
      <c r="B7" s="11">
        <v>1886</v>
      </c>
      <c r="D7" s="11" t="s">
        <v>29</v>
      </c>
      <c r="E7" s="11" t="s">
        <v>26</v>
      </c>
      <c r="F7" s="13">
        <v>646</v>
      </c>
      <c r="G7" s="13">
        <f>+B11/1000*F7</f>
        <v>3318.7242239999996</v>
      </c>
      <c r="H7" s="12">
        <f>+MIN(0.95,MAX(0,(F7-100)/F7))</f>
        <v>0.84520123839009287</v>
      </c>
      <c r="I7" s="13">
        <f t="shared" si="0"/>
        <v>2804.9898239999998</v>
      </c>
      <c r="J7" s="13">
        <f>+$K$1</f>
        <v>64.34</v>
      </c>
      <c r="K7" s="13">
        <v>0.5</v>
      </c>
      <c r="L7" s="13">
        <f t="shared" si="1"/>
        <v>63.84</v>
      </c>
      <c r="M7" s="13">
        <f t="shared" ref="M7:M9" si="2">+I7*L7/31.1034768</f>
        <v>5757.2518826628411</v>
      </c>
      <c r="O7" s="7"/>
      <c r="P7" s="11"/>
      <c r="Q7" s="13"/>
    </row>
    <row r="8" spans="1:17" x14ac:dyDescent="0.3">
      <c r="A8" s="7"/>
      <c r="B8" s="11"/>
      <c r="D8" s="11" t="s">
        <v>30</v>
      </c>
      <c r="E8" s="11" t="s">
        <v>26</v>
      </c>
      <c r="F8" s="13"/>
      <c r="G8" s="13"/>
      <c r="H8" s="11"/>
      <c r="I8" s="13">
        <f t="shared" si="0"/>
        <v>0</v>
      </c>
      <c r="J8" s="13">
        <v>0</v>
      </c>
      <c r="K8" s="13"/>
      <c r="L8" s="13">
        <f t="shared" si="1"/>
        <v>0</v>
      </c>
      <c r="M8" s="13">
        <f t="shared" si="2"/>
        <v>0</v>
      </c>
      <c r="O8" s="7"/>
      <c r="P8" s="11"/>
      <c r="Q8" s="13"/>
    </row>
    <row r="9" spans="1:17" x14ac:dyDescent="0.3">
      <c r="A9" s="7" t="s">
        <v>31</v>
      </c>
      <c r="B9" s="13">
        <v>5184</v>
      </c>
      <c r="D9" s="11" t="s">
        <v>32</v>
      </c>
      <c r="E9" s="11" t="s">
        <v>26</v>
      </c>
      <c r="F9" s="13">
        <v>4.3</v>
      </c>
      <c r="G9" s="13">
        <f>+B11/1000*F9</f>
        <v>22.090579199999997</v>
      </c>
      <c r="H9" s="12">
        <f>+MAX(0,(F9-18)/F9)</f>
        <v>0</v>
      </c>
      <c r="I9" s="13">
        <f t="shared" si="0"/>
        <v>0</v>
      </c>
      <c r="J9" s="13">
        <f>+$M$1</f>
        <v>1569</v>
      </c>
      <c r="K9" s="13">
        <v>14</v>
      </c>
      <c r="L9" s="13">
        <f t="shared" si="1"/>
        <v>1555</v>
      </c>
      <c r="M9" s="13">
        <f t="shared" si="2"/>
        <v>0</v>
      </c>
      <c r="O9" s="7"/>
      <c r="P9" s="11"/>
      <c r="Q9" s="13"/>
    </row>
    <row r="10" spans="1:17" x14ac:dyDescent="0.3">
      <c r="A10" s="7" t="s">
        <v>33</v>
      </c>
      <c r="B10" s="15">
        <v>8.9999999999999993E-3</v>
      </c>
      <c r="D10" s="11"/>
      <c r="E10" s="11"/>
      <c r="F10" s="13"/>
      <c r="G10" s="13"/>
      <c r="H10" s="11"/>
      <c r="I10" s="11"/>
      <c r="J10" s="13"/>
      <c r="K10" s="13"/>
      <c r="L10" s="13"/>
      <c r="M10" s="13"/>
      <c r="O10" s="7"/>
      <c r="P10" s="11"/>
      <c r="Q10" s="13"/>
    </row>
    <row r="11" spans="1:17" x14ac:dyDescent="0.3">
      <c r="A11" s="7" t="s">
        <v>34</v>
      </c>
      <c r="B11" s="13">
        <f>+B9*(1-B10)</f>
        <v>5137.3440000000001</v>
      </c>
      <c r="D11" s="11"/>
      <c r="E11" s="11"/>
      <c r="F11" s="13"/>
      <c r="G11" s="13"/>
      <c r="H11" s="11"/>
      <c r="I11" s="11"/>
      <c r="J11" s="13"/>
      <c r="K11" s="13"/>
      <c r="L11" s="13"/>
      <c r="M11" s="13"/>
      <c r="O11" s="7" t="s">
        <v>35</v>
      </c>
      <c r="P11" s="13">
        <v>0</v>
      </c>
      <c r="Q11" s="13">
        <v>0</v>
      </c>
    </row>
    <row r="12" spans="1:17" x14ac:dyDescent="0.3">
      <c r="A12" s="7" t="s">
        <v>36</v>
      </c>
      <c r="B12" s="13">
        <f>+U14/B9</f>
        <v>0</v>
      </c>
      <c r="D12" s="11"/>
      <c r="E12" s="11"/>
      <c r="F12" s="11"/>
      <c r="G12" s="13"/>
      <c r="H12" s="11"/>
      <c r="I12" s="11"/>
      <c r="J12" s="13"/>
      <c r="K12" s="13"/>
      <c r="L12" s="13"/>
      <c r="M12" s="13"/>
      <c r="O12" s="7" t="s">
        <v>37</v>
      </c>
      <c r="P12" s="13">
        <v>0</v>
      </c>
      <c r="Q12" s="13">
        <v>0</v>
      </c>
    </row>
    <row r="13" spans="1:17" x14ac:dyDescent="0.3">
      <c r="A13" s="16" t="s">
        <v>38</v>
      </c>
      <c r="B13" s="13"/>
      <c r="D13" s="11"/>
      <c r="E13" s="11"/>
      <c r="F13" s="11"/>
      <c r="G13" s="13"/>
      <c r="H13" s="11"/>
      <c r="I13" s="11"/>
      <c r="J13" s="13"/>
      <c r="K13" s="13"/>
      <c r="L13" s="13"/>
      <c r="M13" s="13"/>
      <c r="O13" s="7"/>
      <c r="P13" s="11"/>
      <c r="Q13" s="13"/>
    </row>
    <row r="14" spans="1:17" x14ac:dyDescent="0.3">
      <c r="D14" s="11"/>
      <c r="E14" s="11"/>
      <c r="F14" s="11"/>
      <c r="G14" s="13"/>
      <c r="H14" s="11"/>
      <c r="I14" s="11"/>
      <c r="J14" s="13"/>
      <c r="K14" s="13"/>
      <c r="L14" s="13"/>
      <c r="M14" s="13"/>
      <c r="O14" s="7"/>
      <c r="P14" s="11"/>
      <c r="Q14" s="13"/>
    </row>
    <row r="16" spans="1:17" x14ac:dyDescent="0.3">
      <c r="A16" s="6" t="s">
        <v>5</v>
      </c>
      <c r="B16" s="6"/>
      <c r="D16" s="6" t="s">
        <v>6</v>
      </c>
      <c r="E16" s="6"/>
      <c r="F16" s="6"/>
      <c r="G16" s="6"/>
      <c r="H16" s="6"/>
      <c r="I16" s="6"/>
      <c r="J16" s="6"/>
      <c r="K16" s="6"/>
      <c r="L16" s="6"/>
      <c r="M16" s="6"/>
      <c r="O16" s="6" t="s">
        <v>7</v>
      </c>
      <c r="P16" s="6"/>
      <c r="Q16" s="6"/>
    </row>
    <row r="17" spans="1:17" x14ac:dyDescent="0.3">
      <c r="A17" s="7" t="str">
        <f>+A4</f>
        <v>Arrival date</v>
      </c>
      <c r="B17" s="8">
        <v>45680</v>
      </c>
      <c r="D17" s="6" t="s">
        <v>9</v>
      </c>
      <c r="E17" s="6"/>
      <c r="F17" s="6"/>
      <c r="G17" s="9" t="s">
        <v>10</v>
      </c>
      <c r="H17" s="9" t="s">
        <v>11</v>
      </c>
      <c r="I17" s="9" t="s">
        <v>12</v>
      </c>
      <c r="J17" s="9" t="s">
        <v>13</v>
      </c>
      <c r="K17" s="9" t="s">
        <v>14</v>
      </c>
      <c r="L17" s="9" t="s">
        <v>15</v>
      </c>
      <c r="M17" s="9" t="s">
        <v>16</v>
      </c>
      <c r="N17" s="10"/>
      <c r="O17" s="9" t="s">
        <v>17</v>
      </c>
      <c r="P17" s="9" t="s">
        <v>18</v>
      </c>
      <c r="Q17" s="9" t="s">
        <v>16</v>
      </c>
    </row>
    <row r="18" spans="1:17" x14ac:dyDescent="0.3">
      <c r="A18" s="7" t="str">
        <f t="shared" ref="A18:A24" si="3">+A5</f>
        <v>Receptive date</v>
      </c>
      <c r="B18" s="8">
        <v>45680</v>
      </c>
      <c r="D18" s="11" t="s">
        <v>20</v>
      </c>
      <c r="E18" s="11" t="s">
        <v>21</v>
      </c>
      <c r="F18" s="12">
        <v>0.19639999999999999</v>
      </c>
      <c r="G18" s="13">
        <f>+F18*B24</f>
        <v>293.59836000000001</v>
      </c>
      <c r="H18" s="12">
        <f>+IF(F18&gt;=20,(F18-3%)/F18,IF(F18&gt;=23,(F18-5.16%)/F18,(F18-3%)/F18))</f>
        <v>0.84725050916496947</v>
      </c>
      <c r="I18" s="13">
        <f>+G18*H18</f>
        <v>248.75136000000001</v>
      </c>
      <c r="J18" s="13">
        <f>+$G$1</f>
        <v>11803.79</v>
      </c>
      <c r="K18" s="13">
        <f>+K5</f>
        <v>300</v>
      </c>
      <c r="L18" s="13">
        <f>+J18-K18</f>
        <v>11503.79</v>
      </c>
      <c r="M18" s="13">
        <f>+I18*L18/1000</f>
        <v>2861.5834076544006</v>
      </c>
      <c r="O18" s="7" t="s">
        <v>22</v>
      </c>
      <c r="P18" s="14" t="s">
        <v>23</v>
      </c>
      <c r="Q18" s="13">
        <f>600*B24/1000</f>
        <v>896.94</v>
      </c>
    </row>
    <row r="19" spans="1:17" x14ac:dyDescent="0.3">
      <c r="A19" s="7" t="str">
        <f t="shared" si="3"/>
        <v>Customer lot No.</v>
      </c>
      <c r="B19" s="11">
        <v>871</v>
      </c>
      <c r="D19" s="11" t="s">
        <v>25</v>
      </c>
      <c r="E19" s="11" t="s">
        <v>26</v>
      </c>
      <c r="F19" s="13">
        <v>141</v>
      </c>
      <c r="G19" s="13">
        <f>+B24/1000*F19</f>
        <v>210.7809</v>
      </c>
      <c r="H19" s="12">
        <f>+MIN(0.96,(F19-7)/F19)</f>
        <v>0.95035460992907805</v>
      </c>
      <c r="I19" s="13">
        <f t="shared" ref="I19:I22" si="4">+G19*H19</f>
        <v>200.31660000000002</v>
      </c>
      <c r="J19" s="13">
        <f>+$I$1</f>
        <v>4500</v>
      </c>
      <c r="K19" s="13">
        <f t="shared" ref="K19:K22" si="5">+K6</f>
        <v>5</v>
      </c>
      <c r="L19" s="13">
        <f t="shared" ref="L19:L22" si="6">+J19-K19</f>
        <v>4495</v>
      </c>
      <c r="M19" s="13">
        <f>+I19*L19/31.1034768</f>
        <v>28949.275439201065</v>
      </c>
      <c r="O19" s="7" t="s">
        <v>27</v>
      </c>
      <c r="P19" s="11">
        <v>100</v>
      </c>
      <c r="Q19" s="13">
        <f>+B22*P19/1000</f>
        <v>151</v>
      </c>
    </row>
    <row r="20" spans="1:17" x14ac:dyDescent="0.3">
      <c r="A20" s="7" t="str">
        <f t="shared" si="3"/>
        <v>Lot No. (JX)</v>
      </c>
      <c r="B20" s="11">
        <v>2045</v>
      </c>
      <c r="D20" s="11" t="s">
        <v>29</v>
      </c>
      <c r="E20" s="11" t="s">
        <v>26</v>
      </c>
      <c r="F20" s="13">
        <v>556</v>
      </c>
      <c r="G20" s="13">
        <f>+B24/1000*F20</f>
        <v>831.16440000000011</v>
      </c>
      <c r="H20" s="12">
        <f>+MIN(0.95,MAX(0,(F20-100)/F20))</f>
        <v>0.82014388489208634</v>
      </c>
      <c r="I20" s="13">
        <f t="shared" si="4"/>
        <v>681.67440000000011</v>
      </c>
      <c r="J20" s="13">
        <f>+$K$1</f>
        <v>64.34</v>
      </c>
      <c r="K20" s="13">
        <f t="shared" si="5"/>
        <v>0.5</v>
      </c>
      <c r="L20" s="13">
        <f t="shared" si="6"/>
        <v>63.84</v>
      </c>
      <c r="M20" s="13">
        <f t="shared" ref="M20:M22" si="7">+I20*L20/31.1034768</f>
        <v>1399.1392015699034</v>
      </c>
      <c r="O20" s="7"/>
      <c r="P20" s="11"/>
      <c r="Q20" s="13"/>
    </row>
    <row r="21" spans="1:17" x14ac:dyDescent="0.3">
      <c r="A21" s="7"/>
      <c r="B21" s="11"/>
      <c r="D21" s="11" t="s">
        <v>30</v>
      </c>
      <c r="E21" s="11" t="s">
        <v>26</v>
      </c>
      <c r="F21" s="13"/>
      <c r="G21" s="13"/>
      <c r="H21" s="11"/>
      <c r="I21" s="13">
        <f t="shared" si="4"/>
        <v>0</v>
      </c>
      <c r="J21" s="13">
        <v>0</v>
      </c>
      <c r="K21" s="13">
        <f t="shared" si="5"/>
        <v>0</v>
      </c>
      <c r="L21" s="13">
        <f t="shared" si="6"/>
        <v>0</v>
      </c>
      <c r="M21" s="13">
        <f t="shared" si="7"/>
        <v>0</v>
      </c>
      <c r="O21" s="7"/>
      <c r="P21" s="11"/>
      <c r="Q21" s="13"/>
    </row>
    <row r="22" spans="1:17" x14ac:dyDescent="0.3">
      <c r="A22" s="7" t="str">
        <f t="shared" si="3"/>
        <v>WMT</v>
      </c>
      <c r="B22" s="13">
        <v>1510</v>
      </c>
      <c r="D22" s="11" t="s">
        <v>32</v>
      </c>
      <c r="E22" s="11" t="s">
        <v>26</v>
      </c>
      <c r="F22" s="13">
        <v>6.4</v>
      </c>
      <c r="G22" s="13">
        <f>+B24/1000*F22</f>
        <v>9.5673600000000008</v>
      </c>
      <c r="H22" s="12">
        <f>+MAX(0,(F22-18)/F22)</f>
        <v>0</v>
      </c>
      <c r="I22" s="13">
        <f t="shared" si="4"/>
        <v>0</v>
      </c>
      <c r="J22" s="13">
        <f>+$M$1</f>
        <v>1569</v>
      </c>
      <c r="K22" s="13">
        <f t="shared" si="5"/>
        <v>14</v>
      </c>
      <c r="L22" s="13">
        <f t="shared" si="6"/>
        <v>1555</v>
      </c>
      <c r="M22" s="13">
        <f t="shared" si="7"/>
        <v>0</v>
      </c>
      <c r="O22" s="7"/>
      <c r="P22" s="11"/>
      <c r="Q22" s="13"/>
    </row>
    <row r="23" spans="1:17" x14ac:dyDescent="0.3">
      <c r="A23" s="7" t="str">
        <f t="shared" si="3"/>
        <v>Moisture</v>
      </c>
      <c r="B23" s="15">
        <v>0.01</v>
      </c>
      <c r="D23" s="11"/>
      <c r="E23" s="11"/>
      <c r="F23" s="13"/>
      <c r="G23" s="13"/>
      <c r="H23" s="11"/>
      <c r="I23" s="11"/>
      <c r="J23" s="13"/>
      <c r="K23" s="13"/>
      <c r="L23" s="13"/>
      <c r="M23" s="13"/>
      <c r="O23" s="7"/>
      <c r="P23" s="11"/>
      <c r="Q23" s="13"/>
    </row>
    <row r="24" spans="1:17" x14ac:dyDescent="0.3">
      <c r="A24" s="7" t="str">
        <f t="shared" si="3"/>
        <v>DMT</v>
      </c>
      <c r="B24" s="13">
        <f>+B22*(1-B23)</f>
        <v>1494.9</v>
      </c>
      <c r="D24" s="11"/>
      <c r="E24" s="11"/>
      <c r="F24" s="13"/>
      <c r="G24" s="13"/>
      <c r="H24" s="11"/>
      <c r="I24" s="11"/>
      <c r="J24" s="13"/>
      <c r="K24" s="13"/>
      <c r="L24" s="13"/>
      <c r="M24" s="13"/>
      <c r="O24" s="7" t="s">
        <v>35</v>
      </c>
      <c r="P24" s="13">
        <v>0</v>
      </c>
      <c r="Q24" s="13">
        <v>0</v>
      </c>
    </row>
    <row r="25" spans="1:17" x14ac:dyDescent="0.3">
      <c r="A25" s="7" t="str">
        <f>+A12</f>
        <v>Resultado USD / Kg</v>
      </c>
      <c r="B25" s="13">
        <f>+U27/B22</f>
        <v>0</v>
      </c>
      <c r="D25" s="11"/>
      <c r="E25" s="11"/>
      <c r="F25" s="11"/>
      <c r="G25" s="13"/>
      <c r="H25" s="11"/>
      <c r="I25" s="11"/>
      <c r="J25" s="13"/>
      <c r="K25" s="13"/>
      <c r="L25" s="13"/>
      <c r="M25" s="13"/>
      <c r="O25" s="7" t="s">
        <v>37</v>
      </c>
      <c r="P25" s="13">
        <v>0</v>
      </c>
      <c r="Q25" s="13">
        <v>0</v>
      </c>
    </row>
    <row r="26" spans="1:17" x14ac:dyDescent="0.3">
      <c r="A26" s="16" t="s">
        <v>39</v>
      </c>
      <c r="B26" s="13"/>
      <c r="D26" s="11"/>
      <c r="E26" s="11"/>
      <c r="F26" s="11"/>
      <c r="G26" s="13"/>
      <c r="H26" s="11"/>
      <c r="I26" s="11"/>
      <c r="J26" s="13"/>
      <c r="K26" s="13"/>
      <c r="L26" s="13"/>
      <c r="M26" s="13"/>
      <c r="O26" s="7"/>
      <c r="P26" s="11"/>
      <c r="Q26" s="13"/>
    </row>
    <row r="27" spans="1:17" x14ac:dyDescent="0.3">
      <c r="D27" s="11"/>
      <c r="E27" s="11"/>
      <c r="F27" s="11"/>
      <c r="G27" s="13"/>
      <c r="H27" s="11"/>
      <c r="I27" s="11"/>
      <c r="J27" s="13"/>
      <c r="K27" s="13"/>
      <c r="L27" s="13"/>
      <c r="M27" s="13"/>
      <c r="O27" s="7"/>
      <c r="P27" s="11"/>
      <c r="Q27" s="13"/>
    </row>
    <row r="29" spans="1:17" x14ac:dyDescent="0.3">
      <c r="A29" s="6" t="s">
        <v>5</v>
      </c>
      <c r="B29" s="6"/>
      <c r="D29" s="6" t="s">
        <v>6</v>
      </c>
      <c r="E29" s="6"/>
      <c r="F29" s="6"/>
      <c r="G29" s="6"/>
      <c r="H29" s="6"/>
      <c r="I29" s="6"/>
      <c r="J29" s="6"/>
      <c r="K29" s="6"/>
      <c r="L29" s="6"/>
      <c r="M29" s="6"/>
      <c r="O29" s="6" t="s">
        <v>7</v>
      </c>
      <c r="P29" s="6"/>
      <c r="Q29" s="6"/>
    </row>
    <row r="30" spans="1:17" x14ac:dyDescent="0.3">
      <c r="A30" s="7" t="str">
        <f>+A17</f>
        <v>Arrival date</v>
      </c>
      <c r="B30" s="8">
        <v>45680</v>
      </c>
      <c r="D30" s="6" t="s">
        <v>9</v>
      </c>
      <c r="E30" s="6"/>
      <c r="F30" s="6"/>
      <c r="G30" s="9" t="s">
        <v>10</v>
      </c>
      <c r="H30" s="9" t="s">
        <v>11</v>
      </c>
      <c r="I30" s="9" t="s">
        <v>12</v>
      </c>
      <c r="J30" s="9" t="s">
        <v>13</v>
      </c>
      <c r="K30" s="9" t="s">
        <v>14</v>
      </c>
      <c r="L30" s="9" t="s">
        <v>15</v>
      </c>
      <c r="M30" s="9" t="s">
        <v>16</v>
      </c>
      <c r="N30" s="10"/>
      <c r="O30" s="9" t="s">
        <v>17</v>
      </c>
      <c r="P30" s="9" t="s">
        <v>18</v>
      </c>
      <c r="Q30" s="9" t="s">
        <v>16</v>
      </c>
    </row>
    <row r="31" spans="1:17" x14ac:dyDescent="0.3">
      <c r="A31" s="7" t="str">
        <f t="shared" ref="A31:A37" si="8">+A18</f>
        <v>Receptive date</v>
      </c>
      <c r="B31" s="8">
        <v>45680</v>
      </c>
      <c r="D31" s="11" t="s">
        <v>20</v>
      </c>
      <c r="E31" s="11" t="s">
        <v>21</v>
      </c>
      <c r="F31" s="12">
        <v>0.17849999999999999</v>
      </c>
      <c r="G31" s="13">
        <f>+F31*B37</f>
        <v>36.189982499999999</v>
      </c>
      <c r="H31" s="12">
        <f>+IF(F31&gt;=20,(F31-3%)/F31,IF(F31&gt;=23,(F31-5.16%)/F31,(F31-3%)/F31))</f>
        <v>0.83193277310924374</v>
      </c>
      <c r="I31" s="13">
        <f>+G31*H31</f>
        <v>30.107632500000001</v>
      </c>
      <c r="J31" s="13">
        <f>+$G$1</f>
        <v>11803.79</v>
      </c>
      <c r="K31" s="13">
        <f>+K18</f>
        <v>300</v>
      </c>
      <c r="L31" s="13">
        <f>+J31-K31</f>
        <v>11503.79</v>
      </c>
      <c r="M31" s="13">
        <f>+I31*L31/1000</f>
        <v>346.35188167717507</v>
      </c>
      <c r="O31" s="7" t="s">
        <v>22</v>
      </c>
      <c r="P31" s="14" t="s">
        <v>23</v>
      </c>
      <c r="Q31" s="17">
        <f>600*B37/1000</f>
        <v>121.64700000000001</v>
      </c>
    </row>
    <row r="32" spans="1:17" x14ac:dyDescent="0.3">
      <c r="A32" s="7" t="str">
        <f t="shared" si="8"/>
        <v>Customer lot No.</v>
      </c>
      <c r="B32" s="11">
        <v>881</v>
      </c>
      <c r="D32" s="11" t="s">
        <v>25</v>
      </c>
      <c r="E32" s="11" t="s">
        <v>26</v>
      </c>
      <c r="F32" s="13">
        <v>206.6</v>
      </c>
      <c r="G32" s="13">
        <f>+B37/1000*F32</f>
        <v>41.887117000000003</v>
      </c>
      <c r="H32" s="12">
        <f>+MIN(0.96,(F32-7)/F32)</f>
        <v>0.96</v>
      </c>
      <c r="I32" s="13">
        <f t="shared" ref="I32:I35" si="9">+G32*H32</f>
        <v>40.21163232</v>
      </c>
      <c r="J32" s="13">
        <f>+$I$1</f>
        <v>4500</v>
      </c>
      <c r="K32" s="13">
        <f t="shared" ref="K32:K35" si="10">+K19</f>
        <v>5</v>
      </c>
      <c r="L32" s="13">
        <f t="shared" ref="L32:L35" si="11">+J32-K32</f>
        <v>4495</v>
      </c>
      <c r="M32" s="13">
        <f>+I32*L32/31.1034768</f>
        <v>5811.2888292411099</v>
      </c>
      <c r="O32" s="7" t="s">
        <v>27</v>
      </c>
      <c r="P32" s="11">
        <v>100</v>
      </c>
      <c r="Q32" s="11">
        <f>+B35*P32/1000</f>
        <v>20.5</v>
      </c>
    </row>
    <row r="33" spans="1:17" x14ac:dyDescent="0.3">
      <c r="A33" s="7" t="str">
        <f t="shared" si="8"/>
        <v>Lot No. (JX)</v>
      </c>
      <c r="B33" s="11">
        <v>1887</v>
      </c>
      <c r="D33" s="11" t="s">
        <v>29</v>
      </c>
      <c r="E33" s="11" t="s">
        <v>26</v>
      </c>
      <c r="F33" s="13">
        <v>2734</v>
      </c>
      <c r="G33" s="13">
        <f>+B37/1000*F33</f>
        <v>554.30483000000004</v>
      </c>
      <c r="H33" s="12">
        <f>+MIN(0.95,MAX(0,(F33-100)/F33))</f>
        <v>0.95</v>
      </c>
      <c r="I33" s="13">
        <f t="shared" si="9"/>
        <v>526.58958849999999</v>
      </c>
      <c r="J33" s="13">
        <f>+$K$1</f>
        <v>64.34</v>
      </c>
      <c r="K33" s="13">
        <f t="shared" si="10"/>
        <v>0.5</v>
      </c>
      <c r="L33" s="13">
        <f t="shared" si="11"/>
        <v>63.84</v>
      </c>
      <c r="M33" s="13">
        <f t="shared" ref="M33:M35" si="12">+I33*L33/31.1034768</f>
        <v>1080.8270582097755</v>
      </c>
      <c r="O33" s="7"/>
      <c r="P33" s="11"/>
      <c r="Q33" s="11"/>
    </row>
    <row r="34" spans="1:17" x14ac:dyDescent="0.3">
      <c r="A34" s="7"/>
      <c r="B34" s="11"/>
      <c r="D34" s="11" t="s">
        <v>30</v>
      </c>
      <c r="E34" s="11" t="s">
        <v>26</v>
      </c>
      <c r="F34" s="13"/>
      <c r="G34" s="13"/>
      <c r="H34" s="11"/>
      <c r="I34" s="13">
        <f t="shared" si="9"/>
        <v>0</v>
      </c>
      <c r="J34" s="13">
        <v>0</v>
      </c>
      <c r="K34" s="13">
        <f t="shared" si="10"/>
        <v>0</v>
      </c>
      <c r="L34" s="13">
        <f t="shared" si="11"/>
        <v>0</v>
      </c>
      <c r="M34" s="13">
        <f t="shared" si="12"/>
        <v>0</v>
      </c>
      <c r="O34" s="7"/>
      <c r="P34" s="11"/>
      <c r="Q34" s="11"/>
    </row>
    <row r="35" spans="1:17" x14ac:dyDescent="0.3">
      <c r="A35" s="7" t="str">
        <f t="shared" si="8"/>
        <v>WMT</v>
      </c>
      <c r="B35" s="13">
        <v>205</v>
      </c>
      <c r="D35" s="11" t="s">
        <v>32</v>
      </c>
      <c r="E35" s="11" t="s">
        <v>26</v>
      </c>
      <c r="F35" s="13">
        <v>35.299999999999997</v>
      </c>
      <c r="G35" s="13">
        <f>+B37/1000*F35</f>
        <v>7.1568984999999996</v>
      </c>
      <c r="H35" s="12">
        <f>+MAX(0,(F35-18)/F35)</f>
        <v>0.49008498583569399</v>
      </c>
      <c r="I35" s="13">
        <f t="shared" si="9"/>
        <v>3.5074884999999996</v>
      </c>
      <c r="J35" s="13">
        <f>+$M$1</f>
        <v>1569</v>
      </c>
      <c r="K35" s="13">
        <f t="shared" si="10"/>
        <v>14</v>
      </c>
      <c r="L35" s="13">
        <f t="shared" si="11"/>
        <v>1555</v>
      </c>
      <c r="M35" s="13">
        <f t="shared" si="12"/>
        <v>175.35482134588887</v>
      </c>
      <c r="O35" s="7"/>
      <c r="P35" s="11"/>
      <c r="Q35" s="11"/>
    </row>
    <row r="36" spans="1:17" x14ac:dyDescent="0.3">
      <c r="A36" s="7" t="str">
        <f t="shared" si="8"/>
        <v>Moisture</v>
      </c>
      <c r="B36" s="15">
        <v>1.0999999999999999E-2</v>
      </c>
      <c r="D36" s="11"/>
      <c r="E36" s="11"/>
      <c r="F36" s="13"/>
      <c r="G36" s="13"/>
      <c r="H36" s="11"/>
      <c r="I36" s="11"/>
      <c r="J36" s="13"/>
      <c r="K36" s="13"/>
      <c r="L36" s="13"/>
      <c r="M36" s="13"/>
      <c r="O36" s="7"/>
      <c r="P36" s="11"/>
      <c r="Q36" s="11"/>
    </row>
    <row r="37" spans="1:17" x14ac:dyDescent="0.3">
      <c r="A37" s="7" t="str">
        <f t="shared" si="8"/>
        <v>DMT</v>
      </c>
      <c r="B37" s="13">
        <f>+B35*(1-B36)</f>
        <v>202.745</v>
      </c>
      <c r="D37" s="11"/>
      <c r="E37" s="11"/>
      <c r="F37" s="13"/>
      <c r="G37" s="13"/>
      <c r="H37" s="11"/>
      <c r="I37" s="11"/>
      <c r="J37" s="13"/>
      <c r="K37" s="13"/>
      <c r="L37" s="13"/>
      <c r="M37" s="13"/>
      <c r="O37" s="7" t="s">
        <v>35</v>
      </c>
      <c r="P37" s="13">
        <v>0</v>
      </c>
      <c r="Q37" s="13">
        <v>0</v>
      </c>
    </row>
    <row r="38" spans="1:17" x14ac:dyDescent="0.3">
      <c r="A38" s="7" t="str">
        <f>+A25</f>
        <v>Resultado USD / Kg</v>
      </c>
      <c r="B38" s="13">
        <f>+U40/B35</f>
        <v>0</v>
      </c>
      <c r="D38" s="11"/>
      <c r="E38" s="11"/>
      <c r="F38" s="11"/>
      <c r="G38" s="13"/>
      <c r="H38" s="11"/>
      <c r="I38" s="11"/>
      <c r="J38" s="13"/>
      <c r="K38" s="13"/>
      <c r="L38" s="13"/>
      <c r="M38" s="13"/>
      <c r="O38" s="7" t="s">
        <v>37</v>
      </c>
      <c r="P38" s="13">
        <v>0</v>
      </c>
      <c r="Q38" s="13">
        <v>0</v>
      </c>
    </row>
    <row r="39" spans="1:17" x14ac:dyDescent="0.3">
      <c r="A39" s="18" t="s">
        <v>40</v>
      </c>
      <c r="B39" s="13"/>
      <c r="D39" s="11"/>
      <c r="E39" s="11"/>
      <c r="F39" s="11"/>
      <c r="G39" s="13"/>
      <c r="H39" s="11"/>
      <c r="I39" s="11"/>
      <c r="J39" s="13"/>
      <c r="K39" s="13"/>
      <c r="L39" s="13"/>
      <c r="M39" s="13"/>
      <c r="O39" s="7"/>
      <c r="P39" s="11"/>
      <c r="Q39" s="11"/>
    </row>
    <row r="40" spans="1:17" x14ac:dyDescent="0.3">
      <c r="D40" s="11"/>
      <c r="E40" s="11"/>
      <c r="F40" s="11"/>
      <c r="G40" s="13"/>
      <c r="H40" s="11"/>
      <c r="I40" s="11"/>
      <c r="J40" s="13"/>
      <c r="K40" s="13"/>
      <c r="L40" s="13"/>
      <c r="M40" s="13"/>
      <c r="O40" s="7"/>
      <c r="P40" s="11"/>
      <c r="Q40" s="11"/>
    </row>
    <row r="42" spans="1:17" x14ac:dyDescent="0.3">
      <c r="A42" s="6" t="s">
        <v>5</v>
      </c>
      <c r="B42" s="6"/>
      <c r="D42" s="6" t="s">
        <v>6</v>
      </c>
      <c r="E42" s="6"/>
      <c r="F42" s="6"/>
      <c r="G42" s="6"/>
      <c r="H42" s="6"/>
      <c r="I42" s="6"/>
      <c r="J42" s="6"/>
      <c r="K42" s="6"/>
      <c r="L42" s="6"/>
      <c r="M42" s="6"/>
      <c r="O42" s="6" t="s">
        <v>7</v>
      </c>
      <c r="P42" s="6"/>
      <c r="Q42" s="6"/>
    </row>
    <row r="43" spans="1:17" x14ac:dyDescent="0.3">
      <c r="A43" s="7" t="str">
        <f>+A30</f>
        <v>Arrival date</v>
      </c>
      <c r="B43" s="8">
        <v>45680</v>
      </c>
      <c r="D43" s="6" t="s">
        <v>9</v>
      </c>
      <c r="E43" s="6"/>
      <c r="F43" s="6"/>
      <c r="G43" s="9" t="s">
        <v>10</v>
      </c>
      <c r="H43" s="9" t="s">
        <v>11</v>
      </c>
      <c r="I43" s="9" t="s">
        <v>12</v>
      </c>
      <c r="J43" s="9" t="s">
        <v>13</v>
      </c>
      <c r="K43" s="9" t="s">
        <v>14</v>
      </c>
      <c r="L43" s="9" t="s">
        <v>15</v>
      </c>
      <c r="M43" s="9" t="s">
        <v>16</v>
      </c>
      <c r="N43" s="10"/>
      <c r="O43" s="9" t="s">
        <v>17</v>
      </c>
      <c r="P43" s="9" t="s">
        <v>18</v>
      </c>
      <c r="Q43" s="9" t="s">
        <v>16</v>
      </c>
    </row>
    <row r="44" spans="1:17" x14ac:dyDescent="0.3">
      <c r="A44" s="7" t="str">
        <f t="shared" ref="A44:A50" si="13">+A31</f>
        <v>Receptive date</v>
      </c>
      <c r="B44" s="8">
        <v>45680</v>
      </c>
      <c r="D44" s="11" t="s">
        <v>20</v>
      </c>
      <c r="E44" s="11" t="s">
        <v>21</v>
      </c>
      <c r="F44" s="12">
        <v>0.15029999999999999</v>
      </c>
      <c r="G44" s="13">
        <f>+F44*B50</f>
        <v>18.712349999999997</v>
      </c>
      <c r="H44" s="12">
        <f>+IF(F44&gt;=20,(F44-3%)/F44,IF(F44&gt;=23,(F44-5.16%)/F44,(F44-3%)/F44))</f>
        <v>0.80039920159680633</v>
      </c>
      <c r="I44" s="13">
        <f>+G44*H44</f>
        <v>14.977349999999996</v>
      </c>
      <c r="J44" s="13">
        <f>+$G$1</f>
        <v>11803.79</v>
      </c>
      <c r="K44" s="13">
        <f>+K31</f>
        <v>300</v>
      </c>
      <c r="L44" s="13">
        <f>+J44-K44</f>
        <v>11503.79</v>
      </c>
      <c r="M44" s="13">
        <f>+I44*L44/1000</f>
        <v>172.29628915649997</v>
      </c>
      <c r="O44" s="7" t="s">
        <v>22</v>
      </c>
      <c r="P44" s="14" t="s">
        <v>23</v>
      </c>
      <c r="Q44" s="17">
        <f>600*B50/1000</f>
        <v>74.7</v>
      </c>
    </row>
    <row r="45" spans="1:17" x14ac:dyDescent="0.3">
      <c r="A45" s="7" t="str">
        <f t="shared" si="13"/>
        <v>Customer lot No.</v>
      </c>
      <c r="B45" s="11">
        <v>891</v>
      </c>
      <c r="D45" s="11" t="s">
        <v>25</v>
      </c>
      <c r="E45" s="11" t="s">
        <v>26</v>
      </c>
      <c r="F45" s="13">
        <v>341.8</v>
      </c>
      <c r="G45" s="13">
        <f>+B50/1000*F45</f>
        <v>42.554099999999998</v>
      </c>
      <c r="H45" s="12">
        <f>+MIN(0.96,(F45-7)/F45)</f>
        <v>0.96</v>
      </c>
      <c r="I45" s="13">
        <f t="shared" ref="I45:I48" si="14">+G45*H45</f>
        <v>40.851935999999995</v>
      </c>
      <c r="J45" s="13">
        <f>+$I$1</f>
        <v>4500</v>
      </c>
      <c r="K45" s="13">
        <f t="shared" ref="K45:K48" si="15">+K32</f>
        <v>5</v>
      </c>
      <c r="L45" s="13">
        <f t="shared" ref="L45:L48" si="16">+J45-K45</f>
        <v>4495</v>
      </c>
      <c r="M45" s="13">
        <f>+I45*L45/31.1034768</f>
        <v>5903.8239840762753</v>
      </c>
      <c r="O45" s="7" t="s">
        <v>27</v>
      </c>
      <c r="P45" s="11">
        <v>100</v>
      </c>
      <c r="Q45" s="11">
        <f>+B48*P45/1000</f>
        <v>12.5</v>
      </c>
    </row>
    <row r="46" spans="1:17" x14ac:dyDescent="0.3">
      <c r="A46" s="7" t="str">
        <f t="shared" si="13"/>
        <v>Lot No. (JX)</v>
      </c>
      <c r="B46" s="11">
        <v>1896</v>
      </c>
      <c r="D46" s="11" t="s">
        <v>29</v>
      </c>
      <c r="E46" s="11" t="s">
        <v>26</v>
      </c>
      <c r="F46" s="13">
        <v>2256</v>
      </c>
      <c r="G46" s="13">
        <f>+B50/1000*F46</f>
        <v>280.87200000000001</v>
      </c>
      <c r="H46" s="12">
        <f>+MIN(0.95,MAX(0,(F46-100)/F46))</f>
        <v>0.95</v>
      </c>
      <c r="I46" s="13">
        <f t="shared" si="14"/>
        <v>266.82839999999999</v>
      </c>
      <c r="J46" s="13">
        <f>+$K$1</f>
        <v>64.34</v>
      </c>
      <c r="K46" s="13">
        <f t="shared" si="15"/>
        <v>0.5</v>
      </c>
      <c r="L46" s="13">
        <f t="shared" si="16"/>
        <v>63.84</v>
      </c>
      <c r="M46" s="13">
        <f t="shared" ref="M46:M48" si="17">+I46*L46/31.1034768</f>
        <v>547.66626784308573</v>
      </c>
      <c r="O46" s="7"/>
      <c r="P46" s="11"/>
      <c r="Q46" s="11"/>
    </row>
    <row r="47" spans="1:17" x14ac:dyDescent="0.3">
      <c r="A47" s="7"/>
      <c r="B47" s="11"/>
      <c r="D47" s="11" t="s">
        <v>30</v>
      </c>
      <c r="E47" s="11" t="s">
        <v>26</v>
      </c>
      <c r="F47" s="13"/>
      <c r="G47" s="13"/>
      <c r="H47" s="11"/>
      <c r="I47" s="13">
        <f t="shared" si="14"/>
        <v>0</v>
      </c>
      <c r="J47" s="13">
        <v>0</v>
      </c>
      <c r="K47" s="13">
        <f t="shared" si="15"/>
        <v>0</v>
      </c>
      <c r="L47" s="13">
        <f t="shared" si="16"/>
        <v>0</v>
      </c>
      <c r="M47" s="13">
        <f t="shared" si="17"/>
        <v>0</v>
      </c>
      <c r="O47" s="7"/>
      <c r="P47" s="11"/>
      <c r="Q47" s="11"/>
    </row>
    <row r="48" spans="1:17" x14ac:dyDescent="0.3">
      <c r="A48" s="7" t="str">
        <f t="shared" si="13"/>
        <v>WMT</v>
      </c>
      <c r="B48" s="13">
        <v>125</v>
      </c>
      <c r="D48" s="11" t="s">
        <v>32</v>
      </c>
      <c r="E48" s="11" t="s">
        <v>26</v>
      </c>
      <c r="F48" s="13">
        <v>162.1</v>
      </c>
      <c r="G48" s="13">
        <f>+B50/1000*F48</f>
        <v>20.181449999999998</v>
      </c>
      <c r="H48" s="12">
        <f>+MAX(0,(F48-18)/F48)</f>
        <v>0.8889574336829118</v>
      </c>
      <c r="I48" s="13">
        <f t="shared" si="14"/>
        <v>17.940449999999998</v>
      </c>
      <c r="J48" s="13">
        <f>+$M$1</f>
        <v>1569</v>
      </c>
      <c r="K48" s="13">
        <f t="shared" si="15"/>
        <v>14</v>
      </c>
      <c r="L48" s="13">
        <f t="shared" si="16"/>
        <v>1555</v>
      </c>
      <c r="M48" s="13">
        <f t="shared" si="17"/>
        <v>896.9222292859555</v>
      </c>
      <c r="O48" s="7"/>
      <c r="P48" s="11"/>
      <c r="Q48" s="11"/>
    </row>
    <row r="49" spans="1:17" x14ac:dyDescent="0.3">
      <c r="A49" s="7" t="str">
        <f t="shared" si="13"/>
        <v>Moisture</v>
      </c>
      <c r="B49" s="15">
        <v>4.0000000000000001E-3</v>
      </c>
      <c r="D49" s="11"/>
      <c r="E49" s="11"/>
      <c r="F49" s="11"/>
      <c r="G49" s="13"/>
      <c r="H49" s="11"/>
      <c r="I49" s="11"/>
      <c r="J49" s="13"/>
      <c r="K49" s="13"/>
      <c r="L49" s="13"/>
      <c r="M49" s="13"/>
      <c r="O49" s="7"/>
      <c r="P49" s="11"/>
      <c r="Q49" s="11"/>
    </row>
    <row r="50" spans="1:17" x14ac:dyDescent="0.3">
      <c r="A50" s="7" t="str">
        <f t="shared" si="13"/>
        <v>DMT</v>
      </c>
      <c r="B50" s="13">
        <f>+B48*(1-B49)</f>
        <v>124.5</v>
      </c>
      <c r="D50" s="11"/>
      <c r="E50" s="11"/>
      <c r="F50" s="11"/>
      <c r="G50" s="13"/>
      <c r="H50" s="11"/>
      <c r="I50" s="11"/>
      <c r="J50" s="13"/>
      <c r="K50" s="13"/>
      <c r="L50" s="13"/>
      <c r="M50" s="13"/>
      <c r="O50" s="7" t="s">
        <v>35</v>
      </c>
      <c r="P50" s="13">
        <v>0</v>
      </c>
      <c r="Q50" s="13">
        <v>0</v>
      </c>
    </row>
    <row r="51" spans="1:17" x14ac:dyDescent="0.3">
      <c r="A51" s="7" t="str">
        <f>+A38</f>
        <v>Resultado USD / Kg</v>
      </c>
      <c r="B51" s="13">
        <f>+U53/B48</f>
        <v>0</v>
      </c>
      <c r="D51" s="11"/>
      <c r="E51" s="11"/>
      <c r="F51" s="11"/>
      <c r="G51" s="13"/>
      <c r="H51" s="11"/>
      <c r="I51" s="11"/>
      <c r="J51" s="13"/>
      <c r="K51" s="13"/>
      <c r="L51" s="13"/>
      <c r="M51" s="13"/>
      <c r="O51" s="7" t="s">
        <v>37</v>
      </c>
      <c r="P51" s="13">
        <v>0</v>
      </c>
      <c r="Q51" s="13">
        <v>0</v>
      </c>
    </row>
    <row r="52" spans="1:17" x14ac:dyDescent="0.3">
      <c r="A52" s="18" t="s">
        <v>41</v>
      </c>
      <c r="B52" s="13"/>
      <c r="D52" s="11"/>
      <c r="E52" s="11"/>
      <c r="F52" s="11"/>
      <c r="G52" s="13"/>
      <c r="H52" s="11"/>
      <c r="I52" s="11"/>
      <c r="J52" s="13"/>
      <c r="K52" s="13"/>
      <c r="L52" s="13"/>
      <c r="M52" s="13"/>
      <c r="O52" s="7"/>
      <c r="P52" s="11"/>
      <c r="Q52" s="11"/>
    </row>
    <row r="53" spans="1:17" x14ac:dyDescent="0.3">
      <c r="D53" s="11"/>
      <c r="E53" s="11"/>
      <c r="F53" s="11"/>
      <c r="G53" s="13"/>
      <c r="H53" s="11"/>
      <c r="I53" s="11"/>
      <c r="J53" s="13"/>
      <c r="K53" s="13"/>
      <c r="L53" s="13"/>
      <c r="M53" s="13"/>
      <c r="O53" s="7"/>
      <c r="P53" s="11"/>
      <c r="Q53" s="11"/>
    </row>
    <row r="55" spans="1:17" x14ac:dyDescent="0.3">
      <c r="A55" s="6" t="s">
        <v>5</v>
      </c>
      <c r="B55" s="6"/>
      <c r="D55" s="6" t="s">
        <v>6</v>
      </c>
      <c r="E55" s="6"/>
      <c r="F55" s="6"/>
      <c r="G55" s="6"/>
      <c r="H55" s="6"/>
      <c r="I55" s="6"/>
      <c r="J55" s="6"/>
      <c r="K55" s="6"/>
      <c r="L55" s="6"/>
      <c r="M55" s="6"/>
      <c r="O55" s="6" t="s">
        <v>7</v>
      </c>
      <c r="P55" s="6"/>
      <c r="Q55" s="6"/>
    </row>
    <row r="56" spans="1:17" x14ac:dyDescent="0.3">
      <c r="A56" s="7" t="str">
        <f>+A43</f>
        <v>Arrival date</v>
      </c>
      <c r="B56" s="8">
        <v>45680</v>
      </c>
      <c r="D56" s="6" t="s">
        <v>9</v>
      </c>
      <c r="E56" s="6"/>
      <c r="F56" s="6"/>
      <c r="G56" s="9" t="s">
        <v>10</v>
      </c>
      <c r="H56" s="9" t="s">
        <v>11</v>
      </c>
      <c r="I56" s="9" t="s">
        <v>12</v>
      </c>
      <c r="J56" s="9" t="s">
        <v>13</v>
      </c>
      <c r="K56" s="9" t="s">
        <v>14</v>
      </c>
      <c r="L56" s="9" t="s">
        <v>15</v>
      </c>
      <c r="M56" s="9" t="s">
        <v>16</v>
      </c>
      <c r="N56" s="10"/>
      <c r="O56" s="9" t="s">
        <v>17</v>
      </c>
      <c r="P56" s="9" t="s">
        <v>18</v>
      </c>
      <c r="Q56" s="9" t="s">
        <v>16</v>
      </c>
    </row>
    <row r="57" spans="1:17" x14ac:dyDescent="0.3">
      <c r="A57" s="7" t="str">
        <f t="shared" ref="A57:A63" si="18">+A44</f>
        <v>Receptive date</v>
      </c>
      <c r="B57" s="8">
        <v>45680</v>
      </c>
      <c r="D57" s="11" t="s">
        <v>20</v>
      </c>
      <c r="E57" s="11" t="s">
        <v>21</v>
      </c>
      <c r="F57" s="12">
        <v>0.3196</v>
      </c>
      <c r="G57" s="13">
        <f>+F57*B63</f>
        <v>527.56531799999993</v>
      </c>
      <c r="H57" s="12">
        <f>+IF(F57&gt;=20,(F57-3%)/F57,IF(F57&gt;=23,(F57-5.16%)/F57,(F57-3%)/F57))</f>
        <v>0.90613266583229024</v>
      </c>
      <c r="I57" s="13">
        <f>+G57*H57</f>
        <v>478.0441679999999</v>
      </c>
      <c r="J57" s="13">
        <f>+$G$1</f>
        <v>11803.79</v>
      </c>
      <c r="K57" s="13">
        <f>+K44</f>
        <v>300</v>
      </c>
      <c r="L57" s="13">
        <f>+J57-K57</f>
        <v>11503.79</v>
      </c>
      <c r="M57" s="13">
        <f>+I57*L57/1000</f>
        <v>5499.3197193967198</v>
      </c>
      <c r="O57" s="7" t="s">
        <v>22</v>
      </c>
      <c r="P57" s="14" t="s">
        <v>23</v>
      </c>
      <c r="Q57" s="17">
        <f>600*B63/1000</f>
        <v>990.423</v>
      </c>
    </row>
    <row r="58" spans="1:17" x14ac:dyDescent="0.3">
      <c r="A58" s="7" t="str">
        <f t="shared" si="18"/>
        <v>Customer lot No.</v>
      </c>
      <c r="B58" s="11">
        <v>901</v>
      </c>
      <c r="D58" s="11" t="s">
        <v>25</v>
      </c>
      <c r="E58" s="11" t="s">
        <v>26</v>
      </c>
      <c r="F58" s="13">
        <v>487</v>
      </c>
      <c r="G58" s="13">
        <f>+B63/1000*F58</f>
        <v>803.89333499999998</v>
      </c>
      <c r="H58" s="12">
        <f>+MIN(0.96,(F58-7)/F58)</f>
        <v>0.96</v>
      </c>
      <c r="I58" s="13">
        <f t="shared" ref="I58:I61" si="19">+G58*H58</f>
        <v>771.73760159999995</v>
      </c>
      <c r="J58" s="13">
        <f>+$I$1</f>
        <v>4500</v>
      </c>
      <c r="K58" s="13">
        <f t="shared" ref="K58:K61" si="20">+K45</f>
        <v>5</v>
      </c>
      <c r="L58" s="13">
        <f t="shared" ref="L58:L61" si="21">+J58-K58</f>
        <v>4495</v>
      </c>
      <c r="M58" s="13">
        <f>+I58*L58/31.1034768</f>
        <v>111529.67050911814</v>
      </c>
      <c r="O58" s="7" t="s">
        <v>27</v>
      </c>
      <c r="P58" s="11">
        <v>100</v>
      </c>
      <c r="Q58" s="11">
        <f>+B61*P58/1000</f>
        <v>165.9</v>
      </c>
    </row>
    <row r="59" spans="1:17" x14ac:dyDescent="0.3">
      <c r="A59" s="7" t="str">
        <f t="shared" si="18"/>
        <v>Lot No. (JX)</v>
      </c>
      <c r="B59" s="11">
        <v>2046</v>
      </c>
      <c r="D59" s="11" t="s">
        <v>29</v>
      </c>
      <c r="E59" s="11" t="s">
        <v>26</v>
      </c>
      <c r="F59" s="13">
        <v>1852</v>
      </c>
      <c r="G59" s="13">
        <f>+B63/1000*F59</f>
        <v>3057.1056599999997</v>
      </c>
      <c r="H59" s="12">
        <f>+MIN(0.95,MAX(0,(F59-100)/F59))</f>
        <v>0.94600431965442766</v>
      </c>
      <c r="I59" s="13">
        <f t="shared" si="19"/>
        <v>2892.0351599999999</v>
      </c>
      <c r="J59" s="13">
        <f>+$K$1</f>
        <v>64.34</v>
      </c>
      <c r="K59" s="13">
        <f t="shared" si="20"/>
        <v>0.5</v>
      </c>
      <c r="L59" s="13">
        <f t="shared" si="21"/>
        <v>63.84</v>
      </c>
      <c r="M59" s="13">
        <f t="shared" ref="M59:M61" si="22">+I59*L59/31.1034768</f>
        <v>5935.9127534706986</v>
      </c>
      <c r="O59" s="7"/>
      <c r="P59" s="11"/>
      <c r="Q59" s="11"/>
    </row>
    <row r="60" spans="1:17" x14ac:dyDescent="0.3">
      <c r="A60" s="7"/>
      <c r="B60" s="11"/>
      <c r="D60" s="11" t="s">
        <v>30</v>
      </c>
      <c r="E60" s="11" t="s">
        <v>26</v>
      </c>
      <c r="F60" s="13"/>
      <c r="G60" s="13"/>
      <c r="H60" s="11"/>
      <c r="I60" s="13">
        <f t="shared" si="19"/>
        <v>0</v>
      </c>
      <c r="J60" s="13">
        <v>0</v>
      </c>
      <c r="K60" s="13">
        <f t="shared" si="20"/>
        <v>0</v>
      </c>
      <c r="L60" s="13">
        <f t="shared" si="21"/>
        <v>0</v>
      </c>
      <c r="M60" s="13">
        <f t="shared" si="22"/>
        <v>0</v>
      </c>
      <c r="O60" s="7"/>
      <c r="P60" s="11"/>
      <c r="Q60" s="11"/>
    </row>
    <row r="61" spans="1:17" x14ac:dyDescent="0.3">
      <c r="A61" s="7" t="str">
        <f t="shared" si="18"/>
        <v>WMT</v>
      </c>
      <c r="B61" s="13">
        <v>1659</v>
      </c>
      <c r="D61" s="11" t="s">
        <v>32</v>
      </c>
      <c r="E61" s="11" t="s">
        <v>26</v>
      </c>
      <c r="F61" s="13">
        <v>37.4</v>
      </c>
      <c r="G61" s="13">
        <f>+B63/1000*F61</f>
        <v>61.736366999999994</v>
      </c>
      <c r="H61" s="12">
        <f>+MAX(0,(F61-18)/F61)</f>
        <v>0.51871657754010692</v>
      </c>
      <c r="I61" s="13">
        <f t="shared" si="19"/>
        <v>32.023676999999992</v>
      </c>
      <c r="J61" s="13">
        <f>+$M$1</f>
        <v>1569</v>
      </c>
      <c r="K61" s="13">
        <f t="shared" si="20"/>
        <v>14</v>
      </c>
      <c r="L61" s="13">
        <f t="shared" si="21"/>
        <v>1555</v>
      </c>
      <c r="M61" s="13">
        <f t="shared" si="22"/>
        <v>1601.0048669221439</v>
      </c>
      <c r="O61" s="7"/>
      <c r="P61" s="11"/>
      <c r="Q61" s="11"/>
    </row>
    <row r="62" spans="1:17" x14ac:dyDescent="0.3">
      <c r="A62" s="7" t="str">
        <f t="shared" si="18"/>
        <v>Moisture</v>
      </c>
      <c r="B62" s="15">
        <v>5.0000000000000001E-3</v>
      </c>
      <c r="D62" s="11"/>
      <c r="E62" s="11"/>
      <c r="F62" s="11"/>
      <c r="G62" s="13"/>
      <c r="H62" s="11"/>
      <c r="I62" s="11"/>
      <c r="J62" s="13"/>
      <c r="K62" s="13"/>
      <c r="L62" s="13"/>
      <c r="M62" s="13"/>
      <c r="O62" s="7"/>
      <c r="P62" s="11"/>
      <c r="Q62" s="11"/>
    </row>
    <row r="63" spans="1:17" x14ac:dyDescent="0.3">
      <c r="A63" s="7" t="str">
        <f t="shared" si="18"/>
        <v>DMT</v>
      </c>
      <c r="B63" s="13">
        <f>+B61*(1-B62)</f>
        <v>1650.7049999999999</v>
      </c>
      <c r="D63" s="11"/>
      <c r="E63" s="11"/>
      <c r="F63" s="11"/>
      <c r="G63" s="13"/>
      <c r="H63" s="11"/>
      <c r="I63" s="11"/>
      <c r="J63" s="13"/>
      <c r="K63" s="13"/>
      <c r="L63" s="13"/>
      <c r="M63" s="13"/>
      <c r="O63" s="7" t="s">
        <v>35</v>
      </c>
      <c r="P63" s="13">
        <v>0</v>
      </c>
      <c r="Q63" s="13">
        <v>0</v>
      </c>
    </row>
    <row r="64" spans="1:17" x14ac:dyDescent="0.3">
      <c r="A64" s="7" t="str">
        <f>+A51</f>
        <v>Resultado USD / Kg</v>
      </c>
      <c r="B64" s="13">
        <f>+U66/B61</f>
        <v>0</v>
      </c>
      <c r="D64" s="11"/>
      <c r="E64" s="11"/>
      <c r="F64" s="11"/>
      <c r="G64" s="13"/>
      <c r="H64" s="11"/>
      <c r="I64" s="11"/>
      <c r="J64" s="13"/>
      <c r="K64" s="13"/>
      <c r="L64" s="13"/>
      <c r="M64" s="13"/>
      <c r="O64" s="7" t="s">
        <v>37</v>
      </c>
      <c r="P64" s="13">
        <v>0</v>
      </c>
      <c r="Q64" s="13">
        <v>0</v>
      </c>
    </row>
    <row r="65" spans="1:17" x14ac:dyDescent="0.3">
      <c r="A65" s="18" t="s">
        <v>42</v>
      </c>
      <c r="B65" s="13"/>
      <c r="D65" s="11"/>
      <c r="E65" s="11"/>
      <c r="F65" s="11"/>
      <c r="G65" s="13"/>
      <c r="H65" s="11"/>
      <c r="I65" s="11"/>
      <c r="J65" s="13"/>
      <c r="K65" s="13"/>
      <c r="L65" s="13"/>
      <c r="M65" s="13"/>
      <c r="O65" s="7"/>
      <c r="P65" s="11"/>
      <c r="Q65" s="11"/>
    </row>
    <row r="66" spans="1:17" x14ac:dyDescent="0.3">
      <c r="D66" s="11"/>
      <c r="E66" s="11"/>
      <c r="F66" s="11"/>
      <c r="G66" s="13"/>
      <c r="H66" s="11"/>
      <c r="I66" s="11"/>
      <c r="J66" s="13"/>
      <c r="K66" s="13"/>
      <c r="L66" s="13"/>
      <c r="M66" s="13"/>
      <c r="O66" s="7"/>
      <c r="P66" s="11"/>
      <c r="Q66" s="11"/>
    </row>
    <row r="68" spans="1:17" x14ac:dyDescent="0.3">
      <c r="A68" s="6" t="s">
        <v>5</v>
      </c>
      <c r="B68" s="6"/>
      <c r="D68" s="6" t="s">
        <v>6</v>
      </c>
      <c r="E68" s="6"/>
      <c r="F68" s="6"/>
      <c r="G68" s="6"/>
      <c r="H68" s="6"/>
      <c r="I68" s="6"/>
      <c r="J68" s="6"/>
      <c r="K68" s="6"/>
      <c r="L68" s="6"/>
      <c r="M68" s="6"/>
      <c r="O68" s="6" t="s">
        <v>7</v>
      </c>
      <c r="P68" s="6"/>
      <c r="Q68" s="6"/>
    </row>
    <row r="69" spans="1:17" x14ac:dyDescent="0.3">
      <c r="A69" s="7" t="str">
        <f>+A56</f>
        <v>Arrival date</v>
      </c>
      <c r="B69" s="8">
        <v>45680</v>
      </c>
      <c r="D69" s="6" t="s">
        <v>9</v>
      </c>
      <c r="E69" s="6"/>
      <c r="F69" s="6"/>
      <c r="G69" s="9" t="s">
        <v>10</v>
      </c>
      <c r="H69" s="9" t="s">
        <v>11</v>
      </c>
      <c r="I69" s="9" t="s">
        <v>12</v>
      </c>
      <c r="J69" s="9" t="s">
        <v>13</v>
      </c>
      <c r="K69" s="9" t="s">
        <v>14</v>
      </c>
      <c r="L69" s="9" t="s">
        <v>15</v>
      </c>
      <c r="M69" s="9" t="s">
        <v>16</v>
      </c>
      <c r="N69" s="10"/>
      <c r="O69" s="9" t="s">
        <v>17</v>
      </c>
      <c r="P69" s="9" t="s">
        <v>18</v>
      </c>
      <c r="Q69" s="9" t="s">
        <v>16</v>
      </c>
    </row>
    <row r="70" spans="1:17" x14ac:dyDescent="0.3">
      <c r="A70" s="7" t="str">
        <f t="shared" ref="A70:A76" si="23">+A57</f>
        <v>Receptive date</v>
      </c>
      <c r="B70" s="8">
        <v>45680</v>
      </c>
      <c r="D70" s="11" t="s">
        <v>20</v>
      </c>
      <c r="E70" s="11" t="s">
        <v>21</v>
      </c>
      <c r="F70" s="12">
        <v>0.2288</v>
      </c>
      <c r="G70" s="13">
        <f>+F70*B76</f>
        <v>39.117478399999996</v>
      </c>
      <c r="H70" s="12">
        <f>+IF(F70&gt;=20,(F70-3%)/F70,IF(F70&gt;=23,(F70-5.16%)/F70,(F70-3%)/F70))</f>
        <v>0.86888111888111885</v>
      </c>
      <c r="I70" s="13">
        <f>+G70*H70</f>
        <v>33.988438399999993</v>
      </c>
      <c r="J70" s="13">
        <f>+$G$1</f>
        <v>11803.79</v>
      </c>
      <c r="K70" s="13">
        <f>+K57</f>
        <v>300</v>
      </c>
      <c r="L70" s="13">
        <f>+J70-K70</f>
        <v>11503.79</v>
      </c>
      <c r="M70" s="13">
        <f>+I70*L70/1000</f>
        <v>390.99585778153596</v>
      </c>
      <c r="O70" s="7" t="s">
        <v>22</v>
      </c>
      <c r="P70" s="14" t="s">
        <v>23</v>
      </c>
      <c r="Q70" s="17">
        <f>600*B76/1000</f>
        <v>102.58079999999998</v>
      </c>
    </row>
    <row r="71" spans="1:17" x14ac:dyDescent="0.3">
      <c r="A71" s="7" t="str">
        <f t="shared" si="23"/>
        <v>Customer lot No.</v>
      </c>
      <c r="B71" s="11">
        <v>911</v>
      </c>
      <c r="D71" s="11" t="s">
        <v>25</v>
      </c>
      <c r="E71" s="11" t="s">
        <v>26</v>
      </c>
      <c r="F71" s="13">
        <v>221.8</v>
      </c>
      <c r="G71" s="13">
        <f>+B76/1000*F71</f>
        <v>37.920702399999996</v>
      </c>
      <c r="H71" s="12">
        <f>+MIN(0.96,(F71-7)/F71)</f>
        <v>0.96</v>
      </c>
      <c r="I71" s="13">
        <f t="shared" ref="I71:I74" si="24">+G71*H71</f>
        <v>36.403874303999991</v>
      </c>
      <c r="J71" s="13">
        <f>+$I$1</f>
        <v>4500</v>
      </c>
      <c r="K71" s="13">
        <f t="shared" ref="K71:K74" si="25">+K58</f>
        <v>5</v>
      </c>
      <c r="L71" s="13">
        <f t="shared" ref="L71:L74" si="26">+J71-K71</f>
        <v>4495</v>
      </c>
      <c r="M71" s="13">
        <f>+I71*L71/31.1034768</f>
        <v>5261.000757204094</v>
      </c>
      <c r="O71" s="7" t="s">
        <v>27</v>
      </c>
      <c r="P71" s="11">
        <v>100</v>
      </c>
      <c r="Q71" s="11">
        <f>+B74*P71/1000</f>
        <v>17.2</v>
      </c>
    </row>
    <row r="72" spans="1:17" x14ac:dyDescent="0.3">
      <c r="A72" s="7" t="str">
        <f t="shared" si="23"/>
        <v>Lot No. (JX)</v>
      </c>
      <c r="B72" s="11">
        <v>2047</v>
      </c>
      <c r="D72" s="11" t="s">
        <v>29</v>
      </c>
      <c r="E72" s="11" t="s">
        <v>26</v>
      </c>
      <c r="F72" s="13">
        <v>1188</v>
      </c>
      <c r="G72" s="13">
        <f>+B76/1000*F72</f>
        <v>203.10998399999997</v>
      </c>
      <c r="H72" s="12">
        <f>+MIN(0.95,MAX(0,(F72-100)/F72))</f>
        <v>0.91582491582491588</v>
      </c>
      <c r="I72" s="13">
        <f t="shared" si="24"/>
        <v>186.013184</v>
      </c>
      <c r="J72" s="13">
        <f>+$K$1</f>
        <v>64.34</v>
      </c>
      <c r="K72" s="13">
        <f t="shared" si="25"/>
        <v>0.5</v>
      </c>
      <c r="L72" s="13">
        <f t="shared" si="26"/>
        <v>63.84</v>
      </c>
      <c r="M72" s="13">
        <f t="shared" ref="M72:M74" si="27">+I72*L72/31.1034768</f>
        <v>381.79274114333094</v>
      </c>
      <c r="O72" s="7"/>
      <c r="P72" s="11"/>
      <c r="Q72" s="11"/>
    </row>
    <row r="73" spans="1:17" x14ac:dyDescent="0.3">
      <c r="A73" s="7"/>
      <c r="B73" s="11"/>
      <c r="D73" s="11" t="s">
        <v>30</v>
      </c>
      <c r="E73" s="11" t="s">
        <v>26</v>
      </c>
      <c r="F73" s="13"/>
      <c r="G73" s="13"/>
      <c r="H73" s="11"/>
      <c r="I73" s="13">
        <f t="shared" si="24"/>
        <v>0</v>
      </c>
      <c r="J73" s="13">
        <v>0</v>
      </c>
      <c r="K73" s="13">
        <f t="shared" si="25"/>
        <v>0</v>
      </c>
      <c r="L73" s="13">
        <f t="shared" si="26"/>
        <v>0</v>
      </c>
      <c r="M73" s="13">
        <f t="shared" si="27"/>
        <v>0</v>
      </c>
      <c r="O73" s="7"/>
      <c r="P73" s="11"/>
      <c r="Q73" s="11"/>
    </row>
    <row r="74" spans="1:17" x14ac:dyDescent="0.3">
      <c r="A74" s="7" t="str">
        <f t="shared" si="23"/>
        <v>WMT</v>
      </c>
      <c r="B74" s="13">
        <v>172</v>
      </c>
      <c r="D74" s="11" t="s">
        <v>32</v>
      </c>
      <c r="E74" s="11" t="s">
        <v>26</v>
      </c>
      <c r="F74" s="13">
        <v>42.2</v>
      </c>
      <c r="G74" s="13">
        <f>+B76/1000*F74</f>
        <v>7.2148496</v>
      </c>
      <c r="H74" s="12">
        <f>+MAX(0,(F74-18)/F74)</f>
        <v>0.57345971563981046</v>
      </c>
      <c r="I74" s="13">
        <f t="shared" si="24"/>
        <v>4.1374256000000003</v>
      </c>
      <c r="J74" s="13">
        <f>+$M$1</f>
        <v>1569</v>
      </c>
      <c r="K74" s="13">
        <f t="shared" si="25"/>
        <v>14</v>
      </c>
      <c r="L74" s="13">
        <f t="shared" si="26"/>
        <v>1555</v>
      </c>
      <c r="M74" s="13">
        <f t="shared" si="27"/>
        <v>206.84815557339883</v>
      </c>
      <c r="O74" s="7"/>
      <c r="P74" s="11"/>
      <c r="Q74" s="11"/>
    </row>
    <row r="75" spans="1:17" x14ac:dyDescent="0.3">
      <c r="A75" s="7" t="str">
        <f t="shared" si="23"/>
        <v>Moisture</v>
      </c>
      <c r="B75" s="15">
        <v>6.0000000000000001E-3</v>
      </c>
      <c r="D75" s="11"/>
      <c r="E75" s="11"/>
      <c r="F75" s="11"/>
      <c r="G75" s="13"/>
      <c r="H75" s="11"/>
      <c r="I75" s="11"/>
      <c r="J75" s="13"/>
      <c r="K75" s="13"/>
      <c r="L75" s="13"/>
      <c r="M75" s="13"/>
      <c r="O75" s="7"/>
      <c r="P75" s="11"/>
      <c r="Q75" s="11"/>
    </row>
    <row r="76" spans="1:17" x14ac:dyDescent="0.3">
      <c r="A76" s="7" t="str">
        <f t="shared" si="23"/>
        <v>DMT</v>
      </c>
      <c r="B76" s="13">
        <f>+B74*(1-B75)</f>
        <v>170.96799999999999</v>
      </c>
      <c r="D76" s="11"/>
      <c r="E76" s="11"/>
      <c r="F76" s="11"/>
      <c r="G76" s="13"/>
      <c r="H76" s="11"/>
      <c r="I76" s="11"/>
      <c r="J76" s="13"/>
      <c r="K76" s="13"/>
      <c r="L76" s="13"/>
      <c r="M76" s="13"/>
      <c r="O76" s="7" t="s">
        <v>35</v>
      </c>
      <c r="P76" s="13">
        <v>0</v>
      </c>
      <c r="Q76" s="13">
        <v>0</v>
      </c>
    </row>
    <row r="77" spans="1:17" x14ac:dyDescent="0.3">
      <c r="A77" s="7" t="str">
        <f>+A64</f>
        <v>Resultado USD / Kg</v>
      </c>
      <c r="B77" s="13">
        <f>+U79/B74</f>
        <v>0</v>
      </c>
      <c r="D77" s="11"/>
      <c r="E77" s="11"/>
      <c r="F77" s="11"/>
      <c r="G77" s="13"/>
      <c r="H77" s="11"/>
      <c r="I77" s="11"/>
      <c r="J77" s="13"/>
      <c r="K77" s="13"/>
      <c r="L77" s="13"/>
      <c r="M77" s="13"/>
      <c r="O77" s="7" t="s">
        <v>37</v>
      </c>
      <c r="P77" s="13">
        <v>0</v>
      </c>
      <c r="Q77" s="13">
        <v>0</v>
      </c>
    </row>
    <row r="78" spans="1:17" x14ac:dyDescent="0.3">
      <c r="A78" s="18" t="s">
        <v>43</v>
      </c>
      <c r="B78" s="13"/>
      <c r="D78" s="11"/>
      <c r="E78" s="11"/>
      <c r="F78" s="11"/>
      <c r="G78" s="13"/>
      <c r="H78" s="11"/>
      <c r="I78" s="11"/>
      <c r="J78" s="13"/>
      <c r="K78" s="13"/>
      <c r="L78" s="13"/>
      <c r="M78" s="13"/>
      <c r="O78" s="7"/>
      <c r="P78" s="11"/>
      <c r="Q78" s="11"/>
    </row>
    <row r="79" spans="1:17" x14ac:dyDescent="0.3">
      <c r="D79" s="11"/>
      <c r="E79" s="11"/>
      <c r="F79" s="11"/>
      <c r="G79" s="13"/>
      <c r="H79" s="11"/>
      <c r="I79" s="11"/>
      <c r="J79" s="13"/>
      <c r="K79" s="13"/>
      <c r="L79" s="13"/>
      <c r="M79" s="13"/>
      <c r="O79" s="7"/>
      <c r="P79" s="11"/>
      <c r="Q79" s="11"/>
    </row>
    <row r="81" spans="1:17" x14ac:dyDescent="0.3">
      <c r="A81" s="6" t="s">
        <v>5</v>
      </c>
      <c r="B81" s="6"/>
      <c r="D81" s="6" t="s">
        <v>6</v>
      </c>
      <c r="E81" s="6"/>
      <c r="F81" s="6"/>
      <c r="G81" s="6"/>
      <c r="H81" s="6"/>
      <c r="I81" s="6"/>
      <c r="J81" s="6"/>
      <c r="K81" s="6"/>
      <c r="L81" s="6"/>
      <c r="M81" s="6"/>
      <c r="O81" s="6" t="s">
        <v>7</v>
      </c>
      <c r="P81" s="6"/>
      <c r="Q81" s="6"/>
    </row>
    <row r="82" spans="1:17" x14ac:dyDescent="0.3">
      <c r="A82" s="7" t="str">
        <f>+A69</f>
        <v>Arrival date</v>
      </c>
      <c r="B82" s="8">
        <v>45680</v>
      </c>
      <c r="D82" s="6" t="s">
        <v>9</v>
      </c>
      <c r="E82" s="6"/>
      <c r="F82" s="6"/>
      <c r="G82" s="9" t="s">
        <v>10</v>
      </c>
      <c r="H82" s="9" t="s">
        <v>11</v>
      </c>
      <c r="I82" s="9" t="s">
        <v>12</v>
      </c>
      <c r="J82" s="9" t="s">
        <v>13</v>
      </c>
      <c r="K82" s="9" t="s">
        <v>14</v>
      </c>
      <c r="L82" s="9" t="s">
        <v>15</v>
      </c>
      <c r="M82" s="9" t="s">
        <v>16</v>
      </c>
      <c r="N82" s="10"/>
      <c r="O82" s="9" t="s">
        <v>17</v>
      </c>
      <c r="P82" s="9" t="s">
        <v>18</v>
      </c>
      <c r="Q82" s="9" t="s">
        <v>16</v>
      </c>
    </row>
    <row r="83" spans="1:17" x14ac:dyDescent="0.3">
      <c r="A83" s="7" t="str">
        <f t="shared" ref="A83:A89" si="28">+A70</f>
        <v>Receptive date</v>
      </c>
      <c r="B83" s="8">
        <v>45680</v>
      </c>
      <c r="D83" s="11" t="s">
        <v>20</v>
      </c>
      <c r="E83" s="11" t="s">
        <v>21</v>
      </c>
      <c r="F83" s="12">
        <v>0.29809999999999998</v>
      </c>
      <c r="G83" s="13">
        <f>+F83*B89</f>
        <v>246.18588499999998</v>
      </c>
      <c r="H83" s="12">
        <f>+IF(F83&gt;=20,(F83-3%)/F83,IF(F83&gt;=23,(F83-5.16%)/F83,(F83-3%)/F83))</f>
        <v>0.89936262998993632</v>
      </c>
      <c r="I83" s="13">
        <f>+G83*H83</f>
        <v>221.41038499999999</v>
      </c>
      <c r="J83" s="13">
        <f>+$G$1</f>
        <v>11803.79</v>
      </c>
      <c r="K83" s="13">
        <f>+K70</f>
        <v>300</v>
      </c>
      <c r="L83" s="13">
        <f>+J83-K83</f>
        <v>11503.79</v>
      </c>
      <c r="M83" s="13">
        <f>+I83*L83/1000</f>
        <v>2547.05857285915</v>
      </c>
      <c r="O83" s="7" t="s">
        <v>22</v>
      </c>
      <c r="P83" s="14" t="s">
        <v>23</v>
      </c>
      <c r="Q83" s="17">
        <f>600*B89/1000</f>
        <v>495.51</v>
      </c>
    </row>
    <row r="84" spans="1:17" x14ac:dyDescent="0.3">
      <c r="A84" s="7" t="str">
        <f t="shared" si="28"/>
        <v>Customer lot No.</v>
      </c>
      <c r="B84" s="11">
        <v>921</v>
      </c>
      <c r="D84" s="11" t="s">
        <v>25</v>
      </c>
      <c r="E84" s="11" t="s">
        <v>26</v>
      </c>
      <c r="F84" s="13">
        <v>358.4</v>
      </c>
      <c r="G84" s="13">
        <f>+B89/1000*F84</f>
        <v>295.98463999999996</v>
      </c>
      <c r="H84" s="12">
        <f>+MIN(0.96,(F84-7)/F84)</f>
        <v>0.96</v>
      </c>
      <c r="I84" s="13">
        <f t="shared" ref="I84:I87" si="29">+G84*H84</f>
        <v>284.14525439999994</v>
      </c>
      <c r="J84" s="13">
        <f>+$I$1</f>
        <v>4500</v>
      </c>
      <c r="K84" s="13">
        <f t="shared" ref="K84:K87" si="30">+K71</f>
        <v>5</v>
      </c>
      <c r="L84" s="13">
        <f t="shared" ref="L84:L87" si="31">+J84-K84</f>
        <v>4495</v>
      </c>
      <c r="M84" s="13">
        <f>+I84*L84/31.1034768</f>
        <v>41063.991872702783</v>
      </c>
      <c r="O84" s="7" t="s">
        <v>27</v>
      </c>
      <c r="P84" s="11">
        <v>100</v>
      </c>
      <c r="Q84" s="11">
        <f>+B87*P84/1000</f>
        <v>83</v>
      </c>
    </row>
    <row r="85" spans="1:17" x14ac:dyDescent="0.3">
      <c r="A85" s="7" t="str">
        <f t="shared" si="28"/>
        <v>Lot No. (JX)</v>
      </c>
      <c r="B85" s="11">
        <v>2048</v>
      </c>
      <c r="D85" s="11" t="s">
        <v>29</v>
      </c>
      <c r="E85" s="11" t="s">
        <v>26</v>
      </c>
      <c r="F85" s="13">
        <v>157</v>
      </c>
      <c r="G85" s="13">
        <f>+B89/1000*F85</f>
        <v>129.65844999999999</v>
      </c>
      <c r="H85" s="12">
        <f>+MIN(0.95,MAX(0,(F85-100)/F85))</f>
        <v>0.36305732484076431</v>
      </c>
      <c r="I85" s="13">
        <f t="shared" si="29"/>
        <v>47.073449999999994</v>
      </c>
      <c r="J85" s="13">
        <f>+$K$1</f>
        <v>64.34</v>
      </c>
      <c r="K85" s="13">
        <f t="shared" si="30"/>
        <v>0.5</v>
      </c>
      <c r="L85" s="13">
        <f t="shared" si="31"/>
        <v>63.84</v>
      </c>
      <c r="M85" s="13">
        <f t="shared" ref="M85:M87" si="32">+I85*L85/31.1034768</f>
        <v>96.61842845813301</v>
      </c>
      <c r="O85" s="7"/>
      <c r="P85" s="11"/>
      <c r="Q85" s="11"/>
    </row>
    <row r="86" spans="1:17" x14ac:dyDescent="0.3">
      <c r="A86" s="7"/>
      <c r="B86" s="11"/>
      <c r="D86" s="11" t="s">
        <v>30</v>
      </c>
      <c r="E86" s="11" t="s">
        <v>26</v>
      </c>
      <c r="F86" s="13"/>
      <c r="G86" s="13"/>
      <c r="H86" s="11"/>
      <c r="I86" s="13">
        <f t="shared" si="29"/>
        <v>0</v>
      </c>
      <c r="J86" s="13">
        <v>0</v>
      </c>
      <c r="K86" s="13">
        <f t="shared" si="30"/>
        <v>0</v>
      </c>
      <c r="L86" s="13">
        <f t="shared" si="31"/>
        <v>0</v>
      </c>
      <c r="M86" s="13">
        <f t="shared" si="32"/>
        <v>0</v>
      </c>
      <c r="O86" s="7"/>
      <c r="P86" s="11"/>
      <c r="Q86" s="11"/>
    </row>
    <row r="87" spans="1:17" x14ac:dyDescent="0.3">
      <c r="A87" s="7" t="str">
        <f t="shared" si="28"/>
        <v>WMT</v>
      </c>
      <c r="B87" s="13">
        <v>830</v>
      </c>
      <c r="D87" s="11" t="s">
        <v>32</v>
      </c>
      <c r="E87" s="11" t="s">
        <v>26</v>
      </c>
      <c r="F87" s="13">
        <v>204.1</v>
      </c>
      <c r="G87" s="13">
        <f>+B89/1000*F87</f>
        <v>168.55598499999999</v>
      </c>
      <c r="H87" s="12">
        <f>+MAX(0,(F87-18)/F87)</f>
        <v>0.91180793728564424</v>
      </c>
      <c r="I87" s="13">
        <f t="shared" si="29"/>
        <v>153.69068499999997</v>
      </c>
      <c r="J87" s="13">
        <f>+$M$1</f>
        <v>1569</v>
      </c>
      <c r="K87" s="13">
        <f t="shared" si="30"/>
        <v>14</v>
      </c>
      <c r="L87" s="13">
        <f t="shared" si="31"/>
        <v>1555</v>
      </c>
      <c r="M87" s="13">
        <f t="shared" si="32"/>
        <v>7683.6752595774105</v>
      </c>
      <c r="O87" s="7"/>
      <c r="P87" s="11"/>
      <c r="Q87" s="11"/>
    </row>
    <row r="88" spans="1:17" x14ac:dyDescent="0.3">
      <c r="A88" s="7" t="str">
        <f t="shared" si="28"/>
        <v>Moisture</v>
      </c>
      <c r="B88" s="15">
        <v>5.0000000000000001E-3</v>
      </c>
      <c r="D88" s="11"/>
      <c r="E88" s="11"/>
      <c r="F88" s="11"/>
      <c r="G88" s="13"/>
      <c r="H88" s="11"/>
      <c r="I88" s="11"/>
      <c r="J88" s="13"/>
      <c r="K88" s="13"/>
      <c r="L88" s="13"/>
      <c r="M88" s="13"/>
      <c r="O88" s="7"/>
      <c r="P88" s="11"/>
      <c r="Q88" s="11"/>
    </row>
    <row r="89" spans="1:17" x14ac:dyDescent="0.3">
      <c r="A89" s="7" t="str">
        <f t="shared" si="28"/>
        <v>DMT</v>
      </c>
      <c r="B89" s="13">
        <f>+B87*(1-B88)</f>
        <v>825.85</v>
      </c>
      <c r="D89" s="11"/>
      <c r="E89" s="11"/>
      <c r="F89" s="11"/>
      <c r="G89" s="13"/>
      <c r="H89" s="11"/>
      <c r="I89" s="11"/>
      <c r="J89" s="13"/>
      <c r="K89" s="13"/>
      <c r="L89" s="13"/>
      <c r="M89" s="13"/>
      <c r="O89" s="7" t="s">
        <v>35</v>
      </c>
      <c r="P89" s="13">
        <v>0</v>
      </c>
      <c r="Q89" s="13">
        <v>0</v>
      </c>
    </row>
    <row r="90" spans="1:17" x14ac:dyDescent="0.3">
      <c r="A90" s="7" t="str">
        <f>+A77</f>
        <v>Resultado USD / Kg</v>
      </c>
      <c r="B90" s="13">
        <f>+U92/B87</f>
        <v>0</v>
      </c>
      <c r="D90" s="11"/>
      <c r="E90" s="11"/>
      <c r="F90" s="11"/>
      <c r="G90" s="13"/>
      <c r="H90" s="11"/>
      <c r="I90" s="11"/>
      <c r="J90" s="13"/>
      <c r="K90" s="13"/>
      <c r="L90" s="13"/>
      <c r="M90" s="13"/>
      <c r="O90" s="7" t="s">
        <v>37</v>
      </c>
      <c r="P90" s="13">
        <v>0</v>
      </c>
      <c r="Q90" s="13">
        <v>0</v>
      </c>
    </row>
    <row r="91" spans="1:17" x14ac:dyDescent="0.3">
      <c r="A91" s="18" t="s">
        <v>44</v>
      </c>
      <c r="B91" s="13"/>
      <c r="D91" s="11"/>
      <c r="E91" s="11"/>
      <c r="F91" s="11"/>
      <c r="G91" s="13"/>
      <c r="H91" s="11"/>
      <c r="I91" s="11"/>
      <c r="J91" s="13"/>
      <c r="K91" s="13"/>
      <c r="L91" s="13"/>
      <c r="M91" s="13"/>
      <c r="O91" s="7"/>
      <c r="P91" s="11"/>
      <c r="Q91" s="11"/>
    </row>
    <row r="92" spans="1:17" x14ac:dyDescent="0.3">
      <c r="D92" s="11"/>
      <c r="E92" s="11"/>
      <c r="F92" s="11"/>
      <c r="G92" s="13"/>
      <c r="H92" s="11"/>
      <c r="I92" s="11"/>
      <c r="J92" s="13"/>
      <c r="K92" s="13"/>
      <c r="L92" s="13"/>
      <c r="M92" s="13"/>
      <c r="O92" s="7"/>
      <c r="P92" s="11"/>
      <c r="Q92" s="11"/>
    </row>
    <row r="94" spans="1:17" x14ac:dyDescent="0.3">
      <c r="A94" s="6" t="s">
        <v>5</v>
      </c>
      <c r="B94" s="6"/>
      <c r="D94" s="6" t="s">
        <v>6</v>
      </c>
      <c r="E94" s="6"/>
      <c r="F94" s="6"/>
      <c r="G94" s="6"/>
      <c r="H94" s="6"/>
      <c r="I94" s="6"/>
      <c r="J94" s="6"/>
      <c r="K94" s="6"/>
      <c r="L94" s="6"/>
      <c r="M94" s="6"/>
      <c r="O94" s="6" t="s">
        <v>7</v>
      </c>
      <c r="P94" s="6"/>
      <c r="Q94" s="6"/>
    </row>
    <row r="95" spans="1:17" x14ac:dyDescent="0.3">
      <c r="A95" s="7" t="str">
        <f>+A82</f>
        <v>Arrival date</v>
      </c>
      <c r="B95" s="8">
        <v>45680</v>
      </c>
      <c r="D95" s="6" t="s">
        <v>9</v>
      </c>
      <c r="E95" s="6"/>
      <c r="F95" s="6"/>
      <c r="G95" s="9" t="s">
        <v>10</v>
      </c>
      <c r="H95" s="9" t="s">
        <v>11</v>
      </c>
      <c r="I95" s="9" t="s">
        <v>12</v>
      </c>
      <c r="J95" s="9" t="s">
        <v>13</v>
      </c>
      <c r="K95" s="9" t="s">
        <v>14</v>
      </c>
      <c r="L95" s="9" t="s">
        <v>15</v>
      </c>
      <c r="M95" s="9" t="s">
        <v>16</v>
      </c>
      <c r="N95" s="10"/>
      <c r="O95" s="9" t="s">
        <v>17</v>
      </c>
      <c r="P95" s="9" t="s">
        <v>18</v>
      </c>
      <c r="Q95" s="9" t="s">
        <v>16</v>
      </c>
    </row>
    <row r="96" spans="1:17" x14ac:dyDescent="0.3">
      <c r="A96" s="7" t="str">
        <f t="shared" ref="A96:A102" si="33">+A83</f>
        <v>Receptive date</v>
      </c>
      <c r="B96" s="8">
        <v>45680</v>
      </c>
      <c r="D96" s="11" t="s">
        <v>20</v>
      </c>
      <c r="E96" s="11" t="s">
        <v>21</v>
      </c>
      <c r="F96" s="12">
        <v>0.2283</v>
      </c>
      <c r="G96" s="13">
        <f>+F96*B102</f>
        <v>238.03699500000002</v>
      </c>
      <c r="H96" s="12">
        <f>+IF(F96&gt;=20,(F96-3%)/F96,IF(F96&gt;=23,(F96-5.16%)/F96,(F96-3%)/F96))</f>
        <v>0.86859395532194483</v>
      </c>
      <c r="I96" s="13">
        <f>+G96*H96</f>
        <v>206.75749500000003</v>
      </c>
      <c r="J96" s="13">
        <f>+$G$1</f>
        <v>11803.79</v>
      </c>
      <c r="K96" s="13">
        <f>+K83</f>
        <v>300</v>
      </c>
      <c r="L96" s="13">
        <f>+J96-K96</f>
        <v>11503.79</v>
      </c>
      <c r="M96" s="13">
        <f>+I96*L96/1000</f>
        <v>2378.4948034060503</v>
      </c>
      <c r="O96" s="7" t="s">
        <v>22</v>
      </c>
      <c r="P96" s="14" t="s">
        <v>23</v>
      </c>
      <c r="Q96" s="17">
        <f>600*B102/1000</f>
        <v>625.59</v>
      </c>
    </row>
    <row r="97" spans="1:17" x14ac:dyDescent="0.3">
      <c r="A97" s="7" t="str">
        <f t="shared" si="33"/>
        <v>Customer lot No.</v>
      </c>
      <c r="B97" s="11">
        <v>931</v>
      </c>
      <c r="D97" s="11" t="s">
        <v>25</v>
      </c>
      <c r="E97" s="11" t="s">
        <v>26</v>
      </c>
      <c r="F97" s="13">
        <v>326.89999999999998</v>
      </c>
      <c r="G97" s="13">
        <f>+B102/1000*F97</f>
        <v>340.842285</v>
      </c>
      <c r="H97" s="12">
        <f>+MIN(0.96,(F97-7)/F97)</f>
        <v>0.96</v>
      </c>
      <c r="I97" s="13">
        <f t="shared" ref="I97:I100" si="34">+G97*H97</f>
        <v>327.20859359999997</v>
      </c>
      <c r="J97" s="13">
        <f>+$I$1</f>
        <v>4500</v>
      </c>
      <c r="K97" s="13">
        <f t="shared" ref="K97:K100" si="35">+K84</f>
        <v>5</v>
      </c>
      <c r="L97" s="13">
        <f t="shared" ref="L97:L100" si="36">+J97-K97</f>
        <v>4495</v>
      </c>
      <c r="M97" s="13">
        <f>+I97*L97/31.1034768</f>
        <v>47287.402552758991</v>
      </c>
      <c r="O97" s="7" t="s">
        <v>27</v>
      </c>
      <c r="P97" s="11">
        <v>100</v>
      </c>
      <c r="Q97" s="11">
        <f>+B100*P97/1000</f>
        <v>105</v>
      </c>
    </row>
    <row r="98" spans="1:17" x14ac:dyDescent="0.3">
      <c r="A98" s="7" t="str">
        <f t="shared" si="33"/>
        <v>Lot No. (JX)</v>
      </c>
      <c r="B98" s="11">
        <v>2049</v>
      </c>
      <c r="D98" s="11" t="s">
        <v>29</v>
      </c>
      <c r="E98" s="11" t="s">
        <v>26</v>
      </c>
      <c r="F98" s="13">
        <v>672</v>
      </c>
      <c r="G98" s="13">
        <f>+B102/1000*F98</f>
        <v>700.66080000000011</v>
      </c>
      <c r="H98" s="12">
        <f>+MIN(0.95,MAX(0,(F98-100)/F98))</f>
        <v>0.85119047619047616</v>
      </c>
      <c r="I98" s="13">
        <f t="shared" si="34"/>
        <v>596.39580000000012</v>
      </c>
      <c r="J98" s="13">
        <f>+$K$1</f>
        <v>64.34</v>
      </c>
      <c r="K98" s="13">
        <f t="shared" si="35"/>
        <v>0.5</v>
      </c>
      <c r="L98" s="13">
        <f t="shared" si="36"/>
        <v>63.84</v>
      </c>
      <c r="M98" s="13">
        <f t="shared" ref="M98:M100" si="37">+I98*L98/31.1034768</f>
        <v>1224.1045628699621</v>
      </c>
      <c r="O98" s="7"/>
      <c r="P98" s="11"/>
      <c r="Q98" s="11"/>
    </row>
    <row r="99" spans="1:17" x14ac:dyDescent="0.3">
      <c r="A99" s="7"/>
      <c r="B99" s="11"/>
      <c r="D99" s="11" t="s">
        <v>30</v>
      </c>
      <c r="E99" s="11" t="s">
        <v>26</v>
      </c>
      <c r="F99" s="13"/>
      <c r="G99" s="13"/>
      <c r="H99" s="11"/>
      <c r="I99" s="13">
        <f t="shared" si="34"/>
        <v>0</v>
      </c>
      <c r="J99" s="13">
        <v>0</v>
      </c>
      <c r="K99" s="13">
        <f t="shared" si="35"/>
        <v>0</v>
      </c>
      <c r="L99" s="13">
        <f t="shared" si="36"/>
        <v>0</v>
      </c>
      <c r="M99" s="13">
        <f t="shared" si="37"/>
        <v>0</v>
      </c>
      <c r="O99" s="7"/>
      <c r="P99" s="11"/>
      <c r="Q99" s="11"/>
    </row>
    <row r="100" spans="1:17" x14ac:dyDescent="0.3">
      <c r="A100" s="7" t="str">
        <f t="shared" si="33"/>
        <v>WMT</v>
      </c>
      <c r="B100" s="13">
        <v>1050</v>
      </c>
      <c r="D100" s="11" t="s">
        <v>32</v>
      </c>
      <c r="E100" s="11" t="s">
        <v>26</v>
      </c>
      <c r="F100" s="13">
        <v>17.899999999999999</v>
      </c>
      <c r="G100" s="13">
        <f>+B102/1000*F100</f>
        <v>18.663435</v>
      </c>
      <c r="H100" s="12">
        <f>+MAX(0,(F100-18)/F100)</f>
        <v>0</v>
      </c>
      <c r="I100" s="13">
        <f t="shared" si="34"/>
        <v>0</v>
      </c>
      <c r="J100" s="13">
        <f>+$M$1</f>
        <v>1569</v>
      </c>
      <c r="K100" s="13">
        <f t="shared" si="35"/>
        <v>14</v>
      </c>
      <c r="L100" s="13">
        <f t="shared" si="36"/>
        <v>1555</v>
      </c>
      <c r="M100" s="13">
        <f t="shared" si="37"/>
        <v>0</v>
      </c>
      <c r="O100" s="7"/>
      <c r="P100" s="11"/>
      <c r="Q100" s="11"/>
    </row>
    <row r="101" spans="1:17" x14ac:dyDescent="0.3">
      <c r="A101" s="7" t="str">
        <f t="shared" si="33"/>
        <v>Moisture</v>
      </c>
      <c r="B101" s="15">
        <v>7.0000000000000001E-3</v>
      </c>
      <c r="D101" s="11"/>
      <c r="E101" s="11"/>
      <c r="F101" s="11"/>
      <c r="G101" s="13"/>
      <c r="H101" s="11"/>
      <c r="I101" s="11"/>
      <c r="J101" s="13"/>
      <c r="K101" s="13"/>
      <c r="L101" s="13"/>
      <c r="M101" s="13"/>
      <c r="O101" s="7"/>
      <c r="P101" s="11"/>
      <c r="Q101" s="11"/>
    </row>
    <row r="102" spans="1:17" x14ac:dyDescent="0.3">
      <c r="A102" s="7" t="str">
        <f t="shared" si="33"/>
        <v>DMT</v>
      </c>
      <c r="B102" s="13">
        <f>+B100*(1-B101)</f>
        <v>1042.6500000000001</v>
      </c>
      <c r="D102" s="11"/>
      <c r="E102" s="11"/>
      <c r="F102" s="11"/>
      <c r="G102" s="13"/>
      <c r="H102" s="11"/>
      <c r="I102" s="11"/>
      <c r="J102" s="13"/>
      <c r="K102" s="13"/>
      <c r="L102" s="13"/>
      <c r="M102" s="13"/>
      <c r="O102" s="7" t="s">
        <v>35</v>
      </c>
      <c r="P102" s="13">
        <v>0</v>
      </c>
      <c r="Q102" s="13">
        <v>0</v>
      </c>
    </row>
    <row r="103" spans="1:17" x14ac:dyDescent="0.3">
      <c r="A103" s="7" t="str">
        <f>+A90</f>
        <v>Resultado USD / Kg</v>
      </c>
      <c r="B103" s="13">
        <f>+U105/B100</f>
        <v>0</v>
      </c>
      <c r="D103" s="11"/>
      <c r="E103" s="11"/>
      <c r="F103" s="11"/>
      <c r="G103" s="13"/>
      <c r="H103" s="11"/>
      <c r="I103" s="11"/>
      <c r="J103" s="13"/>
      <c r="K103" s="13"/>
      <c r="L103" s="13"/>
      <c r="M103" s="13"/>
      <c r="O103" s="7" t="s">
        <v>37</v>
      </c>
      <c r="P103" s="13">
        <v>0</v>
      </c>
      <c r="Q103" s="13">
        <v>0</v>
      </c>
    </row>
    <row r="104" spans="1:17" x14ac:dyDescent="0.3">
      <c r="A104" s="16" t="s">
        <v>45</v>
      </c>
      <c r="B104" s="13"/>
      <c r="D104" s="11"/>
      <c r="E104" s="11"/>
      <c r="F104" s="11"/>
      <c r="G104" s="13"/>
      <c r="H104" s="11"/>
      <c r="I104" s="11"/>
      <c r="J104" s="13"/>
      <c r="K104" s="13"/>
      <c r="L104" s="13"/>
      <c r="M104" s="13"/>
      <c r="O104" s="7"/>
      <c r="P104" s="11"/>
      <c r="Q104" s="11"/>
    </row>
    <row r="105" spans="1:17" x14ac:dyDescent="0.3">
      <c r="A105" t="s">
        <v>46</v>
      </c>
      <c r="D105" s="11"/>
      <c r="E105" s="11"/>
      <c r="F105" s="11"/>
      <c r="G105" s="13"/>
      <c r="H105" s="11"/>
      <c r="I105" s="11"/>
      <c r="J105" s="13"/>
      <c r="K105" s="13"/>
      <c r="L105" s="13"/>
      <c r="M105" s="13"/>
      <c r="O105" s="7"/>
      <c r="P105" s="11"/>
      <c r="Q105" s="11"/>
    </row>
    <row r="107" spans="1:17" x14ac:dyDescent="0.3">
      <c r="A107" s="6" t="s">
        <v>5</v>
      </c>
      <c r="B107" s="6"/>
      <c r="D107" s="6" t="s">
        <v>6</v>
      </c>
      <c r="E107" s="6"/>
      <c r="F107" s="6"/>
      <c r="G107" s="6"/>
      <c r="H107" s="6"/>
      <c r="I107" s="6"/>
      <c r="J107" s="6"/>
      <c r="K107" s="6"/>
      <c r="L107" s="6"/>
      <c r="M107" s="6"/>
      <c r="O107" s="6" t="s">
        <v>7</v>
      </c>
      <c r="P107" s="6"/>
      <c r="Q107" s="6"/>
    </row>
    <row r="108" spans="1:17" x14ac:dyDescent="0.3">
      <c r="A108" s="7" t="str">
        <f>+A95</f>
        <v>Arrival date</v>
      </c>
      <c r="B108" s="8">
        <v>45680</v>
      </c>
      <c r="D108" s="6" t="s">
        <v>9</v>
      </c>
      <c r="E108" s="6"/>
      <c r="F108" s="6"/>
      <c r="G108" s="9" t="s">
        <v>10</v>
      </c>
      <c r="H108" s="9" t="s">
        <v>11</v>
      </c>
      <c r="I108" s="9" t="s">
        <v>12</v>
      </c>
      <c r="J108" s="9" t="s">
        <v>13</v>
      </c>
      <c r="K108" s="9" t="s">
        <v>14</v>
      </c>
      <c r="L108" s="9" t="s">
        <v>15</v>
      </c>
      <c r="M108" s="9" t="s">
        <v>16</v>
      </c>
      <c r="N108" s="10"/>
      <c r="O108" s="9" t="s">
        <v>17</v>
      </c>
      <c r="P108" s="9" t="s">
        <v>18</v>
      </c>
      <c r="Q108" s="9" t="s">
        <v>16</v>
      </c>
    </row>
    <row r="109" spans="1:17" x14ac:dyDescent="0.3">
      <c r="A109" s="7" t="str">
        <f t="shared" ref="A109:A115" si="38">+A96</f>
        <v>Receptive date</v>
      </c>
      <c r="B109" s="8">
        <v>45680</v>
      </c>
      <c r="D109" s="11" t="s">
        <v>20</v>
      </c>
      <c r="E109" s="11" t="s">
        <v>21</v>
      </c>
      <c r="F109" s="12">
        <v>0.3493</v>
      </c>
      <c r="G109" s="13">
        <f>+F109*B115</f>
        <v>323.54960399999999</v>
      </c>
      <c r="H109" s="12">
        <f>+IF(F109&gt;=20,(F109-3%)/F109,IF(F109&gt;=23,(F109-5.16%)/F109,(F109-3%)/F109))</f>
        <v>0.91411394217005448</v>
      </c>
      <c r="I109" s="13">
        <f>+G109*H109</f>
        <v>295.76120400000002</v>
      </c>
      <c r="J109" s="13">
        <f>+$G$1</f>
        <v>11803.79</v>
      </c>
      <c r="K109" s="13">
        <f>+K96</f>
        <v>300</v>
      </c>
      <c r="L109" s="13">
        <f>+J109-K109</f>
        <v>11503.79</v>
      </c>
      <c r="M109" s="13">
        <f>+I109*L109/1000</f>
        <v>3402.3747809631604</v>
      </c>
      <c r="O109" s="7" t="s">
        <v>22</v>
      </c>
      <c r="P109" s="14" t="s">
        <v>23</v>
      </c>
      <c r="Q109" s="17">
        <f>600*B115/1000</f>
        <v>555.76800000000003</v>
      </c>
    </row>
    <row r="110" spans="1:17" x14ac:dyDescent="0.3">
      <c r="A110" s="7" t="str">
        <f t="shared" si="38"/>
        <v>Customer lot No.</v>
      </c>
      <c r="B110" s="11">
        <v>941</v>
      </c>
      <c r="D110" s="11" t="s">
        <v>25</v>
      </c>
      <c r="E110" s="11" t="s">
        <v>26</v>
      </c>
      <c r="F110" s="13">
        <v>781.6</v>
      </c>
      <c r="G110" s="13">
        <f>+B115/1000*F110</f>
        <v>723.98044800000002</v>
      </c>
      <c r="H110" s="12">
        <f>+MIN(0.96,(F110-7)/F110)</f>
        <v>0.96</v>
      </c>
      <c r="I110" s="13">
        <f t="shared" ref="I110:I113" si="39">+G110*H110</f>
        <v>695.02123008000001</v>
      </c>
      <c r="J110" s="13">
        <f>+$I$1</f>
        <v>4500</v>
      </c>
      <c r="K110" s="13">
        <f t="shared" ref="K110:K113" si="40">+K97</f>
        <v>5</v>
      </c>
      <c r="L110" s="13">
        <f t="shared" ref="L110:L113" si="41">+J110-K110</f>
        <v>4495</v>
      </c>
      <c r="M110" s="13">
        <f>+I110*L110/31.1034768</f>
        <v>100442.80416939114</v>
      </c>
      <c r="O110" s="7" t="s">
        <v>27</v>
      </c>
      <c r="P110" s="11">
        <v>100</v>
      </c>
      <c r="Q110" s="11">
        <f>+B113*P110/1000</f>
        <v>93</v>
      </c>
    </row>
    <row r="111" spans="1:17" x14ac:dyDescent="0.3">
      <c r="A111" s="7" t="str">
        <f t="shared" si="38"/>
        <v>Lot No. (JX)</v>
      </c>
      <c r="B111" s="11">
        <v>2050</v>
      </c>
      <c r="D111" s="11" t="s">
        <v>29</v>
      </c>
      <c r="E111" s="11" t="s">
        <v>26</v>
      </c>
      <c r="F111" s="13">
        <v>2554</v>
      </c>
      <c r="G111" s="13">
        <f>+B115/1000*F111</f>
        <v>2365.7191200000002</v>
      </c>
      <c r="H111" s="12">
        <f>+MIN(0.95,MAX(0,(F111-100)/F111))</f>
        <v>0.95</v>
      </c>
      <c r="I111" s="13">
        <f t="shared" si="39"/>
        <v>2247.433164</v>
      </c>
      <c r="J111" s="13">
        <f>+$K$1</f>
        <v>64.34</v>
      </c>
      <c r="K111" s="13">
        <f t="shared" si="40"/>
        <v>0.5</v>
      </c>
      <c r="L111" s="13">
        <f t="shared" si="41"/>
        <v>63.84</v>
      </c>
      <c r="M111" s="13">
        <f t="shared" ref="M111:M113" si="42">+I111*L111/31.1034768</f>
        <v>4612.8647968306877</v>
      </c>
      <c r="O111" s="7"/>
      <c r="P111" s="11"/>
      <c r="Q111" s="11"/>
    </row>
    <row r="112" spans="1:17" x14ac:dyDescent="0.3">
      <c r="A112" s="7"/>
      <c r="B112" s="11"/>
      <c r="D112" s="11" t="s">
        <v>30</v>
      </c>
      <c r="E112" s="11" t="s">
        <v>26</v>
      </c>
      <c r="F112" s="13"/>
      <c r="G112" s="13"/>
      <c r="H112" s="11"/>
      <c r="I112" s="13">
        <f t="shared" si="39"/>
        <v>0</v>
      </c>
      <c r="J112" s="13">
        <v>0</v>
      </c>
      <c r="K112" s="13">
        <f t="shared" si="40"/>
        <v>0</v>
      </c>
      <c r="L112" s="13">
        <f t="shared" si="41"/>
        <v>0</v>
      </c>
      <c r="M112" s="13">
        <f t="shared" si="42"/>
        <v>0</v>
      </c>
      <c r="O112" s="7"/>
      <c r="P112" s="11"/>
      <c r="Q112" s="11"/>
    </row>
    <row r="113" spans="1:17" x14ac:dyDescent="0.3">
      <c r="A113" s="7" t="str">
        <f t="shared" si="38"/>
        <v>WMT</v>
      </c>
      <c r="B113" s="13">
        <v>930</v>
      </c>
      <c r="D113" s="11" t="s">
        <v>32</v>
      </c>
      <c r="E113" s="11" t="s">
        <v>26</v>
      </c>
      <c r="F113" s="13">
        <v>57.7</v>
      </c>
      <c r="G113" s="13">
        <f>+B115/1000*F113</f>
        <v>53.446356000000002</v>
      </c>
      <c r="H113" s="12">
        <f>+MAX(0,(F113-18)/F113)</f>
        <v>0.68804159445407276</v>
      </c>
      <c r="I113" s="13">
        <f t="shared" si="39"/>
        <v>36.773316000000001</v>
      </c>
      <c r="J113" s="13">
        <f>+$M$1</f>
        <v>1569</v>
      </c>
      <c r="K113" s="13">
        <f t="shared" si="40"/>
        <v>14</v>
      </c>
      <c r="L113" s="13">
        <f t="shared" si="41"/>
        <v>1555</v>
      </c>
      <c r="M113" s="13">
        <f t="shared" si="42"/>
        <v>1838.4602707823326</v>
      </c>
      <c r="O113" s="7"/>
      <c r="P113" s="11"/>
      <c r="Q113" s="11"/>
    </row>
    <row r="114" spans="1:17" x14ac:dyDescent="0.3">
      <c r="A114" s="7" t="str">
        <f t="shared" si="38"/>
        <v>Moisture</v>
      </c>
      <c r="B114" s="15">
        <v>4.0000000000000001E-3</v>
      </c>
      <c r="D114" s="11"/>
      <c r="E114" s="11"/>
      <c r="F114" s="11"/>
      <c r="G114" s="13"/>
      <c r="H114" s="11"/>
      <c r="I114" s="11"/>
      <c r="J114" s="13"/>
      <c r="K114" s="13"/>
      <c r="L114" s="13"/>
      <c r="M114" s="13"/>
      <c r="O114" s="7"/>
      <c r="P114" s="11"/>
      <c r="Q114" s="11"/>
    </row>
    <row r="115" spans="1:17" x14ac:dyDescent="0.3">
      <c r="A115" s="7" t="str">
        <f t="shared" si="38"/>
        <v>DMT</v>
      </c>
      <c r="B115" s="13">
        <f>+B113*(1-B114)</f>
        <v>926.28</v>
      </c>
      <c r="D115" s="11"/>
      <c r="E115" s="11"/>
      <c r="F115" s="11"/>
      <c r="G115" s="13"/>
      <c r="H115" s="11"/>
      <c r="I115" s="11"/>
      <c r="J115" s="13"/>
      <c r="K115" s="13"/>
      <c r="L115" s="13"/>
      <c r="M115" s="13"/>
      <c r="O115" s="7" t="s">
        <v>35</v>
      </c>
      <c r="P115" s="13">
        <v>0</v>
      </c>
      <c r="Q115" s="13">
        <v>0</v>
      </c>
    </row>
    <row r="116" spans="1:17" x14ac:dyDescent="0.3">
      <c r="A116" s="7" t="str">
        <f>+A103</f>
        <v>Resultado USD / Kg</v>
      </c>
      <c r="B116" s="13">
        <f>+U118/B113</f>
        <v>0</v>
      </c>
      <c r="D116" s="11"/>
      <c r="E116" s="11"/>
      <c r="F116" s="11"/>
      <c r="G116" s="13"/>
      <c r="H116" s="11"/>
      <c r="I116" s="11"/>
      <c r="J116" s="13"/>
      <c r="K116" s="13"/>
      <c r="L116" s="13"/>
      <c r="M116" s="13"/>
      <c r="O116" s="7" t="s">
        <v>37</v>
      </c>
      <c r="P116" s="13">
        <v>0</v>
      </c>
      <c r="Q116" s="13">
        <v>0</v>
      </c>
    </row>
    <row r="117" spans="1:17" x14ac:dyDescent="0.3">
      <c r="A117" s="18" t="s">
        <v>47</v>
      </c>
      <c r="B117" s="13"/>
      <c r="D117" s="11"/>
      <c r="E117" s="11"/>
      <c r="F117" s="11"/>
      <c r="G117" s="13"/>
      <c r="H117" s="11"/>
      <c r="I117" s="11"/>
      <c r="J117" s="13"/>
      <c r="K117" s="13"/>
      <c r="L117" s="13"/>
      <c r="M117" s="13"/>
      <c r="O117" s="7"/>
      <c r="P117" s="11"/>
      <c r="Q117" s="11"/>
    </row>
    <row r="118" spans="1:17" x14ac:dyDescent="0.3">
      <c r="D118" s="11"/>
      <c r="E118" s="11"/>
      <c r="F118" s="11"/>
      <c r="G118" s="13"/>
      <c r="H118" s="11"/>
      <c r="I118" s="11"/>
      <c r="J118" s="13"/>
      <c r="K118" s="13"/>
      <c r="L118" s="13"/>
      <c r="M118" s="13"/>
      <c r="O118" s="7"/>
      <c r="P118" s="11"/>
      <c r="Q118" s="11"/>
    </row>
    <row r="120" spans="1:17" x14ac:dyDescent="0.3">
      <c r="A120" s="6" t="s">
        <v>5</v>
      </c>
      <c r="B120" s="6"/>
      <c r="D120" s="6" t="s">
        <v>6</v>
      </c>
      <c r="E120" s="6"/>
      <c r="F120" s="6"/>
      <c r="G120" s="6"/>
      <c r="H120" s="6"/>
      <c r="I120" s="6"/>
      <c r="J120" s="6"/>
      <c r="K120" s="6"/>
      <c r="L120" s="6"/>
      <c r="M120" s="6"/>
      <c r="O120" s="6" t="s">
        <v>7</v>
      </c>
      <c r="P120" s="6"/>
      <c r="Q120" s="6"/>
    </row>
    <row r="121" spans="1:17" x14ac:dyDescent="0.3">
      <c r="A121" s="7" t="str">
        <f>+A108</f>
        <v>Arrival date</v>
      </c>
      <c r="B121" s="8">
        <v>45680</v>
      </c>
      <c r="D121" s="6" t="s">
        <v>9</v>
      </c>
      <c r="E121" s="6"/>
      <c r="F121" s="6"/>
      <c r="G121" s="9" t="s">
        <v>10</v>
      </c>
      <c r="H121" s="9" t="s">
        <v>11</v>
      </c>
      <c r="I121" s="9" t="s">
        <v>12</v>
      </c>
      <c r="J121" s="9" t="s">
        <v>13</v>
      </c>
      <c r="K121" s="9" t="s">
        <v>14</v>
      </c>
      <c r="L121" s="9" t="s">
        <v>15</v>
      </c>
      <c r="M121" s="9" t="s">
        <v>16</v>
      </c>
      <c r="N121" s="10"/>
      <c r="O121" s="9" t="s">
        <v>17</v>
      </c>
      <c r="P121" s="9" t="s">
        <v>18</v>
      </c>
      <c r="Q121" s="9" t="s">
        <v>16</v>
      </c>
    </row>
    <row r="122" spans="1:17" x14ac:dyDescent="0.3">
      <c r="A122" s="7" t="str">
        <f t="shared" ref="A122:A128" si="43">+A109</f>
        <v>Receptive date</v>
      </c>
      <c r="B122" s="8">
        <v>45680</v>
      </c>
      <c r="D122" s="11" t="s">
        <v>20</v>
      </c>
      <c r="E122" s="11" t="s">
        <v>21</v>
      </c>
      <c r="F122" s="12">
        <v>0.2994</v>
      </c>
      <c r="G122" s="13">
        <f>+F122*B128</f>
        <v>122.08723620000001</v>
      </c>
      <c r="H122" s="12">
        <f>+IF(F122&gt;=20,(F122-3%)/F122,IF(F122&gt;=23,(F122-5.16%)/F122,(F122-3%)/F122))</f>
        <v>0.89979959919839669</v>
      </c>
      <c r="I122" s="13">
        <f>+G122*H122</f>
        <v>109.8540462</v>
      </c>
      <c r="J122" s="13">
        <f>+$G$1</f>
        <v>11803.79</v>
      </c>
      <c r="K122" s="13">
        <f>+K109</f>
        <v>300</v>
      </c>
      <c r="L122" s="13">
        <f>+J122-K122</f>
        <v>11503.79</v>
      </c>
      <c r="M122" s="13">
        <f>+I122*L122/1000</f>
        <v>1263.7378781350981</v>
      </c>
      <c r="O122" s="7" t="s">
        <v>22</v>
      </c>
      <c r="P122" s="14" t="s">
        <v>23</v>
      </c>
      <c r="Q122" s="17">
        <f>600*B128/1000</f>
        <v>244.66380000000001</v>
      </c>
    </row>
    <row r="123" spans="1:17" x14ac:dyDescent="0.3">
      <c r="A123" s="7" t="str">
        <f t="shared" si="43"/>
        <v>Customer lot No.</v>
      </c>
      <c r="B123" s="11">
        <v>951</v>
      </c>
      <c r="D123" s="11" t="s">
        <v>25</v>
      </c>
      <c r="E123" s="11" t="s">
        <v>26</v>
      </c>
      <c r="F123" s="13">
        <v>250.1</v>
      </c>
      <c r="G123" s="13">
        <f>+B128/1000*F123</f>
        <v>101.98402730000001</v>
      </c>
      <c r="H123" s="12">
        <f>+MIN(0.96,(F123-7)/F123)</f>
        <v>0.96</v>
      </c>
      <c r="I123" s="13">
        <f t="shared" ref="I123:I126" si="44">+G123*H123</f>
        <v>97.904666208000009</v>
      </c>
      <c r="J123" s="13">
        <f>+$I$1</f>
        <v>4500</v>
      </c>
      <c r="K123" s="13">
        <f t="shared" ref="K123:K126" si="45">+K110</f>
        <v>5</v>
      </c>
      <c r="L123" s="13">
        <f t="shared" ref="L123:L126" si="46">+J123-K123</f>
        <v>4495</v>
      </c>
      <c r="M123" s="13">
        <f>+I123*L123/31.1034768</f>
        <v>14148.947959572162</v>
      </c>
      <c r="O123" s="7" t="s">
        <v>27</v>
      </c>
      <c r="P123" s="11">
        <v>100</v>
      </c>
      <c r="Q123" s="11">
        <f>+B126*P123/1000</f>
        <v>40.9</v>
      </c>
    </row>
    <row r="124" spans="1:17" x14ac:dyDescent="0.3">
      <c r="A124" s="7" t="str">
        <f t="shared" si="43"/>
        <v>Lot No. (JX)</v>
      </c>
      <c r="B124" s="11">
        <v>2051</v>
      </c>
      <c r="D124" s="11" t="s">
        <v>29</v>
      </c>
      <c r="E124" s="11" t="s">
        <v>26</v>
      </c>
      <c r="F124" s="13">
        <v>1270</v>
      </c>
      <c r="G124" s="13">
        <f>+B128/1000*F124</f>
        <v>517.87171000000012</v>
      </c>
      <c r="H124" s="12">
        <f>+MIN(0.95,MAX(0,(F124-100)/F124))</f>
        <v>0.92125984251968507</v>
      </c>
      <c r="I124" s="13">
        <f t="shared" si="44"/>
        <v>477.09441000000015</v>
      </c>
      <c r="J124" s="13">
        <f>+$K$1</f>
        <v>64.34</v>
      </c>
      <c r="K124" s="13">
        <f t="shared" si="45"/>
        <v>0.5</v>
      </c>
      <c r="L124" s="13">
        <f t="shared" si="46"/>
        <v>63.84</v>
      </c>
      <c r="M124" s="13">
        <f t="shared" ref="M124:M126" si="47">+I124*L124/31.1034768</f>
        <v>979.23802313958709</v>
      </c>
      <c r="O124" s="7"/>
      <c r="P124" s="11"/>
      <c r="Q124" s="11"/>
    </row>
    <row r="125" spans="1:17" x14ac:dyDescent="0.3">
      <c r="A125" s="7"/>
      <c r="B125" s="11"/>
      <c r="D125" s="11" t="s">
        <v>30</v>
      </c>
      <c r="E125" s="11" t="s">
        <v>26</v>
      </c>
      <c r="F125" s="13"/>
      <c r="G125" s="13"/>
      <c r="H125" s="11"/>
      <c r="I125" s="13">
        <f t="shared" si="44"/>
        <v>0</v>
      </c>
      <c r="J125" s="13">
        <v>0</v>
      </c>
      <c r="K125" s="13">
        <f t="shared" si="45"/>
        <v>0</v>
      </c>
      <c r="L125" s="13">
        <f t="shared" si="46"/>
        <v>0</v>
      </c>
      <c r="M125" s="13">
        <f t="shared" si="47"/>
        <v>0</v>
      </c>
      <c r="O125" s="7"/>
      <c r="P125" s="11"/>
      <c r="Q125" s="11"/>
    </row>
    <row r="126" spans="1:17" x14ac:dyDescent="0.3">
      <c r="A126" s="7" t="str">
        <f t="shared" si="43"/>
        <v>WMT</v>
      </c>
      <c r="B126" s="13">
        <v>409</v>
      </c>
      <c r="D126" s="11" t="s">
        <v>32</v>
      </c>
      <c r="E126" s="11" t="s">
        <v>26</v>
      </c>
      <c r="F126" s="13">
        <v>12.8</v>
      </c>
      <c r="G126" s="13">
        <f>+B128/1000*F126</f>
        <v>5.2194944000000012</v>
      </c>
      <c r="H126" s="12">
        <f>+MAX(0,(F126-18)/F126)</f>
        <v>0</v>
      </c>
      <c r="I126" s="13">
        <f t="shared" si="44"/>
        <v>0</v>
      </c>
      <c r="J126" s="13">
        <f>+$M$1</f>
        <v>1569</v>
      </c>
      <c r="K126" s="13">
        <f t="shared" si="45"/>
        <v>14</v>
      </c>
      <c r="L126" s="13">
        <f t="shared" si="46"/>
        <v>1555</v>
      </c>
      <c r="M126" s="13">
        <f t="shared" si="47"/>
        <v>0</v>
      </c>
      <c r="O126" s="7"/>
      <c r="P126" s="11"/>
      <c r="Q126" s="11"/>
    </row>
    <row r="127" spans="1:17" x14ac:dyDescent="0.3">
      <c r="A127" s="7" t="str">
        <f t="shared" si="43"/>
        <v>Moisture</v>
      </c>
      <c r="B127" s="15">
        <v>3.0000000000000001E-3</v>
      </c>
      <c r="D127" s="11"/>
      <c r="E127" s="11"/>
      <c r="F127" s="11"/>
      <c r="G127" s="13"/>
      <c r="H127" s="11"/>
      <c r="I127" s="11"/>
      <c r="J127" s="13"/>
      <c r="K127" s="13"/>
      <c r="L127" s="13"/>
      <c r="M127" s="13"/>
      <c r="O127" s="7"/>
      <c r="P127" s="11"/>
      <c r="Q127" s="11"/>
    </row>
    <row r="128" spans="1:17" x14ac:dyDescent="0.3">
      <c r="A128" s="7" t="str">
        <f t="shared" si="43"/>
        <v>DMT</v>
      </c>
      <c r="B128" s="13">
        <f>+B126*(1-B127)</f>
        <v>407.77300000000002</v>
      </c>
      <c r="D128" s="11"/>
      <c r="E128" s="11"/>
      <c r="F128" s="11"/>
      <c r="G128" s="13"/>
      <c r="H128" s="11"/>
      <c r="I128" s="11"/>
      <c r="J128" s="13"/>
      <c r="K128" s="13"/>
      <c r="L128" s="13"/>
      <c r="M128" s="13"/>
      <c r="O128" s="7" t="s">
        <v>35</v>
      </c>
      <c r="P128" s="13">
        <v>0</v>
      </c>
      <c r="Q128" s="13">
        <v>0</v>
      </c>
    </row>
    <row r="129" spans="1:17" x14ac:dyDescent="0.3">
      <c r="A129" s="7" t="str">
        <f>+A116</f>
        <v>Resultado USD / Kg</v>
      </c>
      <c r="B129" s="13">
        <f>+U131/B126</f>
        <v>0</v>
      </c>
      <c r="D129" s="11"/>
      <c r="E129" s="11"/>
      <c r="F129" s="11"/>
      <c r="G129" s="13"/>
      <c r="H129" s="11"/>
      <c r="I129" s="11"/>
      <c r="J129" s="13"/>
      <c r="K129" s="13"/>
      <c r="L129" s="13"/>
      <c r="M129" s="13"/>
      <c r="O129" s="7" t="s">
        <v>37</v>
      </c>
      <c r="P129" s="13">
        <v>0</v>
      </c>
      <c r="Q129" s="13">
        <v>0</v>
      </c>
    </row>
    <row r="130" spans="1:17" x14ac:dyDescent="0.3">
      <c r="A130" s="16" t="s">
        <v>48</v>
      </c>
      <c r="B130" s="13"/>
      <c r="D130" s="11"/>
      <c r="E130" s="11"/>
      <c r="F130" s="11"/>
      <c r="G130" s="13"/>
      <c r="H130" s="11"/>
      <c r="I130" s="11"/>
      <c r="J130" s="13"/>
      <c r="K130" s="13"/>
      <c r="L130" s="13"/>
      <c r="M130" s="13"/>
      <c r="O130" s="7"/>
      <c r="P130" s="11"/>
      <c r="Q130" s="11"/>
    </row>
    <row r="131" spans="1:17" x14ac:dyDescent="0.3">
      <c r="D131" s="11"/>
      <c r="E131" s="11"/>
      <c r="F131" s="11"/>
      <c r="G131" s="13"/>
      <c r="H131" s="11"/>
      <c r="I131" s="11"/>
      <c r="J131" s="13"/>
      <c r="K131" s="13"/>
      <c r="L131" s="13"/>
      <c r="M131" s="13"/>
      <c r="O131" s="7"/>
      <c r="P131" s="11"/>
      <c r="Q131" s="11"/>
    </row>
    <row r="133" spans="1:17" x14ac:dyDescent="0.3">
      <c r="A133" s="6" t="s">
        <v>5</v>
      </c>
      <c r="B133" s="6"/>
      <c r="D133" s="6" t="s">
        <v>6</v>
      </c>
      <c r="E133" s="6"/>
      <c r="F133" s="6"/>
      <c r="G133" s="6"/>
      <c r="H133" s="6"/>
      <c r="I133" s="6"/>
      <c r="J133" s="6"/>
      <c r="K133" s="6"/>
      <c r="L133" s="6"/>
      <c r="M133" s="6"/>
      <c r="O133" s="6" t="s">
        <v>7</v>
      </c>
      <c r="P133" s="6"/>
      <c r="Q133" s="6"/>
    </row>
    <row r="134" spans="1:17" x14ac:dyDescent="0.3">
      <c r="A134" s="7" t="s">
        <v>8</v>
      </c>
      <c r="B134" s="8">
        <v>45694</v>
      </c>
      <c r="D134" s="6" t="s">
        <v>9</v>
      </c>
      <c r="E134" s="6"/>
      <c r="F134" s="6"/>
      <c r="G134" s="9" t="s">
        <v>10</v>
      </c>
      <c r="H134" s="9" t="s">
        <v>11</v>
      </c>
      <c r="I134" s="9" t="s">
        <v>12</v>
      </c>
      <c r="J134" s="9" t="s">
        <v>13</v>
      </c>
      <c r="K134" s="9" t="s">
        <v>14</v>
      </c>
      <c r="L134" s="9" t="s">
        <v>15</v>
      </c>
      <c r="M134" s="9" t="s">
        <v>16</v>
      </c>
      <c r="N134" s="10"/>
      <c r="O134" s="9" t="s">
        <v>17</v>
      </c>
      <c r="P134" s="9" t="s">
        <v>18</v>
      </c>
      <c r="Q134" s="9" t="s">
        <v>16</v>
      </c>
    </row>
    <row r="135" spans="1:17" x14ac:dyDescent="0.3">
      <c r="A135" s="7" t="s">
        <v>19</v>
      </c>
      <c r="B135" s="8">
        <f>+B134</f>
        <v>45694</v>
      </c>
      <c r="D135" s="11" t="s">
        <v>20</v>
      </c>
      <c r="E135" s="11" t="s">
        <v>21</v>
      </c>
      <c r="F135" s="12">
        <v>0.2011</v>
      </c>
      <c r="G135" s="13">
        <f>+F135*B141</f>
        <v>1346.5873188</v>
      </c>
      <c r="H135" s="12">
        <f>+IF(F135&gt;=20,(F135-3%)/F135,IF(F135&gt;=23,(F135-5.16%)/F135,(F135-3%)/F135))</f>
        <v>0.85082048731974147</v>
      </c>
      <c r="I135" s="13">
        <f>+G135*H135</f>
        <v>1145.7040788000002</v>
      </c>
      <c r="J135" s="13">
        <f>+$G$1</f>
        <v>11803.79</v>
      </c>
      <c r="K135" s="13">
        <v>300</v>
      </c>
      <c r="L135" s="13">
        <f>+J135-K135</f>
        <v>11503.79</v>
      </c>
      <c r="M135" s="13">
        <f>+I135*L135/1000</f>
        <v>13179.939124658655</v>
      </c>
      <c r="O135" s="7" t="s">
        <v>22</v>
      </c>
      <c r="P135" s="14" t="s">
        <v>23</v>
      </c>
      <c r="Q135" s="13">
        <f>600*B141/1000</f>
        <v>4017.6648000000005</v>
      </c>
    </row>
    <row r="136" spans="1:17" x14ac:dyDescent="0.3">
      <c r="A136" s="7" t="s">
        <v>24</v>
      </c>
      <c r="B136" s="11">
        <v>791</v>
      </c>
      <c r="D136" s="11" t="s">
        <v>25</v>
      </c>
      <c r="E136" s="11" t="s">
        <v>26</v>
      </c>
      <c r="F136" s="13">
        <v>265.2</v>
      </c>
      <c r="G136" s="13">
        <f>+B141/1000*F136</f>
        <v>1775.8078416000001</v>
      </c>
      <c r="H136" s="12">
        <f>+MIN(0.96,(F136-7)/F136)</f>
        <v>0.96</v>
      </c>
      <c r="I136" s="13">
        <f t="shared" ref="I136:I139" si="48">+G136*H136</f>
        <v>1704.7755279360001</v>
      </c>
      <c r="J136" s="13">
        <f>+$I$1</f>
        <v>4500</v>
      </c>
      <c r="K136" s="13">
        <v>5</v>
      </c>
      <c r="L136" s="13">
        <f t="shared" ref="L136:L139" si="49">+J136-K136</f>
        <v>4495</v>
      </c>
      <c r="M136" s="13">
        <f>+I136*L136/31.1034768</f>
        <v>246370.07776803654</v>
      </c>
      <c r="O136" s="7" t="s">
        <v>27</v>
      </c>
      <c r="P136" s="11">
        <v>100</v>
      </c>
      <c r="Q136" s="13">
        <f>+B139*P136/1000</f>
        <v>672.3</v>
      </c>
    </row>
    <row r="137" spans="1:17" x14ac:dyDescent="0.3">
      <c r="A137" s="7" t="s">
        <v>28</v>
      </c>
      <c r="B137" s="11">
        <v>128</v>
      </c>
      <c r="D137" s="11" t="s">
        <v>29</v>
      </c>
      <c r="E137" s="11" t="s">
        <v>26</v>
      </c>
      <c r="F137" s="13">
        <v>1003</v>
      </c>
      <c r="G137" s="13">
        <f>+B141/1000*F137</f>
        <v>6716.1963240000005</v>
      </c>
      <c r="H137" s="12">
        <f>+MIN(0.95,MAX(0,(F137-100)/F137))</f>
        <v>0.90029910269192426</v>
      </c>
      <c r="I137" s="13">
        <f t="shared" si="48"/>
        <v>6046.585524000001</v>
      </c>
      <c r="J137" s="13">
        <f>+$K$1</f>
        <v>64.34</v>
      </c>
      <c r="K137" s="13">
        <v>0.5</v>
      </c>
      <c r="L137" s="13">
        <f t="shared" si="49"/>
        <v>63.84</v>
      </c>
      <c r="M137" s="13">
        <f t="shared" ref="M137:M139" si="50">+I137*L137/31.1034768</f>
        <v>12410.63892420413</v>
      </c>
      <c r="O137" s="7"/>
      <c r="P137" s="11"/>
      <c r="Q137" s="13"/>
    </row>
    <row r="138" spans="1:17" x14ac:dyDescent="0.3">
      <c r="A138" s="7"/>
      <c r="B138" s="11"/>
      <c r="D138" s="11" t="s">
        <v>30</v>
      </c>
      <c r="E138" s="11" t="s">
        <v>26</v>
      </c>
      <c r="F138" s="13"/>
      <c r="G138" s="13"/>
      <c r="H138" s="11"/>
      <c r="I138" s="13">
        <f t="shared" si="48"/>
        <v>0</v>
      </c>
      <c r="J138" s="13">
        <v>0</v>
      </c>
      <c r="K138" s="13"/>
      <c r="L138" s="13">
        <f t="shared" si="49"/>
        <v>0</v>
      </c>
      <c r="M138" s="13">
        <f t="shared" si="50"/>
        <v>0</v>
      </c>
      <c r="O138" s="7"/>
      <c r="P138" s="11"/>
      <c r="Q138" s="13"/>
    </row>
    <row r="139" spans="1:17" x14ac:dyDescent="0.3">
      <c r="A139" s="7" t="s">
        <v>31</v>
      </c>
      <c r="B139" s="13">
        <v>6723</v>
      </c>
      <c r="D139" s="11" t="s">
        <v>32</v>
      </c>
      <c r="E139" s="11" t="s">
        <v>26</v>
      </c>
      <c r="F139" s="13">
        <v>115.8</v>
      </c>
      <c r="G139" s="13">
        <f>+B141/1000*F139</f>
        <v>775.4093064000001</v>
      </c>
      <c r="H139" s="12">
        <f>+MAX(0,(F139-18)/F139)</f>
        <v>0.84455958549222798</v>
      </c>
      <c r="I139" s="13">
        <f t="shared" si="48"/>
        <v>654.8793624000001</v>
      </c>
      <c r="J139" s="13">
        <f>+$M$1</f>
        <v>1569</v>
      </c>
      <c r="K139" s="13">
        <v>14</v>
      </c>
      <c r="L139" s="13">
        <f t="shared" si="49"/>
        <v>1555</v>
      </c>
      <c r="M139" s="13">
        <f t="shared" si="50"/>
        <v>32740.307943065716</v>
      </c>
      <c r="O139" s="7"/>
      <c r="P139" s="11"/>
      <c r="Q139" s="13"/>
    </row>
    <row r="140" spans="1:17" x14ac:dyDescent="0.3">
      <c r="A140" s="7" t="s">
        <v>33</v>
      </c>
      <c r="B140" s="15">
        <v>4.0000000000000001E-3</v>
      </c>
      <c r="D140" s="11"/>
      <c r="E140" s="11"/>
      <c r="F140" s="13"/>
      <c r="G140" s="13"/>
      <c r="H140" s="11"/>
      <c r="I140" s="11"/>
      <c r="J140" s="13"/>
      <c r="K140" s="13"/>
      <c r="L140" s="13"/>
      <c r="M140" s="13"/>
      <c r="O140" s="7"/>
      <c r="P140" s="11"/>
      <c r="Q140" s="13"/>
    </row>
    <row r="141" spans="1:17" x14ac:dyDescent="0.3">
      <c r="A141" s="7" t="s">
        <v>34</v>
      </c>
      <c r="B141" s="13">
        <f>+B139*(1-B140)</f>
        <v>6696.1080000000002</v>
      </c>
      <c r="D141" s="11"/>
      <c r="E141" s="11"/>
      <c r="F141" s="13"/>
      <c r="G141" s="13"/>
      <c r="H141" s="11"/>
      <c r="I141" s="11"/>
      <c r="J141" s="13"/>
      <c r="K141" s="13"/>
      <c r="L141" s="13"/>
      <c r="M141" s="13"/>
      <c r="O141" s="7" t="s">
        <v>35</v>
      </c>
      <c r="P141" s="13">
        <v>0</v>
      </c>
      <c r="Q141" s="13">
        <v>0</v>
      </c>
    </row>
    <row r="142" spans="1:17" x14ac:dyDescent="0.3">
      <c r="A142" s="7" t="s">
        <v>36</v>
      </c>
      <c r="B142" s="13">
        <f>+U144/B139</f>
        <v>0</v>
      </c>
      <c r="D142" s="11"/>
      <c r="E142" s="11"/>
      <c r="F142" s="11"/>
      <c r="G142" s="13"/>
      <c r="H142" s="11"/>
      <c r="I142" s="11"/>
      <c r="J142" s="13"/>
      <c r="K142" s="13"/>
      <c r="L142" s="13"/>
      <c r="M142" s="13"/>
      <c r="O142" s="7" t="s">
        <v>37</v>
      </c>
      <c r="P142" s="13">
        <v>0</v>
      </c>
      <c r="Q142" s="13">
        <v>0</v>
      </c>
    </row>
    <row r="143" spans="1:17" x14ac:dyDescent="0.3">
      <c r="A143" s="16" t="s">
        <v>49</v>
      </c>
      <c r="B143" s="13"/>
      <c r="D143" s="11"/>
      <c r="E143" s="11"/>
      <c r="F143" s="11"/>
      <c r="G143" s="13"/>
      <c r="H143" s="11"/>
      <c r="I143" s="11"/>
      <c r="J143" s="13"/>
      <c r="K143" s="13"/>
      <c r="L143" s="13"/>
      <c r="M143" s="13"/>
      <c r="O143" s="7"/>
      <c r="P143" s="11"/>
      <c r="Q143" s="13"/>
    </row>
    <row r="144" spans="1:17" x14ac:dyDescent="0.3">
      <c r="D144" s="11"/>
      <c r="E144" s="11"/>
      <c r="F144" s="11"/>
      <c r="G144" s="13"/>
      <c r="H144" s="11"/>
      <c r="I144" s="11"/>
      <c r="J144" s="13"/>
      <c r="K144" s="13"/>
      <c r="L144" s="13"/>
      <c r="M144" s="13"/>
      <c r="O144" s="7"/>
      <c r="P144" s="11"/>
      <c r="Q144" s="13"/>
    </row>
    <row r="146" spans="1:17" x14ac:dyDescent="0.3">
      <c r="A146" s="6" t="s">
        <v>5</v>
      </c>
      <c r="B146" s="6"/>
      <c r="D146" s="6" t="s">
        <v>6</v>
      </c>
      <c r="E146" s="6"/>
      <c r="F146" s="6"/>
      <c r="G146" s="6"/>
      <c r="H146" s="6"/>
      <c r="I146" s="6"/>
      <c r="J146" s="6"/>
      <c r="K146" s="6"/>
      <c r="L146" s="6"/>
      <c r="M146" s="6"/>
      <c r="O146" s="6" t="s">
        <v>7</v>
      </c>
      <c r="P146" s="6"/>
      <c r="Q146" s="6"/>
    </row>
    <row r="147" spans="1:17" x14ac:dyDescent="0.3">
      <c r="A147" s="7" t="str">
        <f>+A134</f>
        <v>Arrival date</v>
      </c>
      <c r="B147" s="8">
        <v>45698</v>
      </c>
      <c r="D147" s="6" t="s">
        <v>9</v>
      </c>
      <c r="E147" s="6"/>
      <c r="F147" s="6"/>
      <c r="G147" s="9" t="s">
        <v>10</v>
      </c>
      <c r="H147" s="9" t="s">
        <v>11</v>
      </c>
      <c r="I147" s="9" t="s">
        <v>12</v>
      </c>
      <c r="J147" s="9" t="s">
        <v>13</v>
      </c>
      <c r="K147" s="9" t="s">
        <v>14</v>
      </c>
      <c r="L147" s="9" t="s">
        <v>15</v>
      </c>
      <c r="M147" s="9" t="s">
        <v>16</v>
      </c>
      <c r="N147" s="10"/>
      <c r="O147" s="9" t="s">
        <v>17</v>
      </c>
      <c r="P147" s="9" t="s">
        <v>18</v>
      </c>
      <c r="Q147" s="9" t="s">
        <v>16</v>
      </c>
    </row>
    <row r="148" spans="1:17" x14ac:dyDescent="0.3">
      <c r="A148" s="7" t="str">
        <f t="shared" ref="A148:A154" si="51">+A135</f>
        <v>Receptive date</v>
      </c>
      <c r="B148" s="8">
        <f>+B147</f>
        <v>45698</v>
      </c>
      <c r="D148" s="11" t="s">
        <v>20</v>
      </c>
      <c r="E148" s="11" t="s">
        <v>21</v>
      </c>
      <c r="F148" s="12">
        <v>0.2084</v>
      </c>
      <c r="G148" s="13">
        <f>+F148*B154</f>
        <v>692.85664320000001</v>
      </c>
      <c r="H148" s="12">
        <f>+IF(F148&gt;=20,(F148-3%)/F148,IF(F148&gt;=23,(F148-5.16%)/F148,(F148-3%)/F148))</f>
        <v>0.85604606525911708</v>
      </c>
      <c r="I148" s="13">
        <f>+G148*H148</f>
        <v>593.11720320000006</v>
      </c>
      <c r="J148" s="13">
        <f>+$G$1</f>
        <v>11803.79</v>
      </c>
      <c r="K148" s="13">
        <f>+K135</f>
        <v>300</v>
      </c>
      <c r="L148" s="13">
        <f>+J148-K148</f>
        <v>11503.79</v>
      </c>
      <c r="M148" s="13">
        <f>+I148*L148/1000</f>
        <v>6823.0957510001299</v>
      </c>
      <c r="O148" s="7" t="s">
        <v>22</v>
      </c>
      <c r="P148" s="14" t="s">
        <v>23</v>
      </c>
      <c r="Q148" s="13">
        <f>600*B154/1000</f>
        <v>1994.7888</v>
      </c>
    </row>
    <row r="149" spans="1:17" x14ac:dyDescent="0.3">
      <c r="A149" s="7" t="str">
        <f t="shared" si="51"/>
        <v>Customer lot No.</v>
      </c>
      <c r="B149" s="11">
        <v>801</v>
      </c>
      <c r="D149" s="11" t="s">
        <v>25</v>
      </c>
      <c r="E149" s="11" t="s">
        <v>26</v>
      </c>
      <c r="F149" s="13">
        <v>204.4</v>
      </c>
      <c r="G149" s="13">
        <f>+B154/1000*F149</f>
        <v>679.55805120000002</v>
      </c>
      <c r="H149" s="12">
        <f>+MIN(0.96,(F149-7)/F149)</f>
        <v>0.96</v>
      </c>
      <c r="I149" s="13">
        <f t="shared" ref="I149:I152" si="52">+G149*H149</f>
        <v>652.37572915199996</v>
      </c>
      <c r="J149" s="13">
        <f>+$I$1</f>
        <v>4500</v>
      </c>
      <c r="K149" s="13">
        <f t="shared" ref="K149:K152" si="53">+K136</f>
        <v>5</v>
      </c>
      <c r="L149" s="13">
        <f t="shared" ref="L149:L152" si="54">+J149-K149</f>
        <v>4495</v>
      </c>
      <c r="M149" s="13">
        <f>+I149*L149/31.1034768</f>
        <v>94279.778476026841</v>
      </c>
      <c r="O149" s="7" t="s">
        <v>27</v>
      </c>
      <c r="P149" s="11">
        <v>100</v>
      </c>
      <c r="Q149" s="13">
        <f>+B152*P149/1000</f>
        <v>333.8</v>
      </c>
    </row>
    <row r="150" spans="1:17" x14ac:dyDescent="0.3">
      <c r="A150" s="7" t="str">
        <f t="shared" si="51"/>
        <v>Lot No. (JX)</v>
      </c>
      <c r="B150" s="11">
        <v>493</v>
      </c>
      <c r="D150" s="11" t="s">
        <v>29</v>
      </c>
      <c r="E150" s="11" t="s">
        <v>26</v>
      </c>
      <c r="F150" s="13">
        <v>1078</v>
      </c>
      <c r="G150" s="13">
        <f>+B154/1000*F150</f>
        <v>3583.9705440000002</v>
      </c>
      <c r="H150" s="12">
        <f>+MIN(0.95,MAX(0,(F150-100)/F150))</f>
        <v>0.90723562152133586</v>
      </c>
      <c r="I150" s="13">
        <f t="shared" si="52"/>
        <v>3251.5057440000005</v>
      </c>
      <c r="J150" s="13">
        <f>+$K$1</f>
        <v>64.34</v>
      </c>
      <c r="K150" s="13">
        <f t="shared" si="53"/>
        <v>0.5</v>
      </c>
      <c r="L150" s="13">
        <f t="shared" si="54"/>
        <v>63.84</v>
      </c>
      <c r="M150" s="13">
        <f t="shared" ref="M150:M152" si="55">+I150*L150/31.1034768</f>
        <v>6673.7274431313754</v>
      </c>
      <c r="O150" s="7"/>
      <c r="P150" s="11"/>
      <c r="Q150" s="13"/>
    </row>
    <row r="151" spans="1:17" x14ac:dyDescent="0.3">
      <c r="A151" s="7"/>
      <c r="B151" s="11"/>
      <c r="D151" s="11" t="s">
        <v>30</v>
      </c>
      <c r="E151" s="11" t="s">
        <v>26</v>
      </c>
      <c r="F151" s="13"/>
      <c r="G151" s="13"/>
      <c r="H151" s="11"/>
      <c r="I151" s="13">
        <f t="shared" si="52"/>
        <v>0</v>
      </c>
      <c r="J151" s="13">
        <v>0</v>
      </c>
      <c r="K151" s="13">
        <f t="shared" si="53"/>
        <v>0</v>
      </c>
      <c r="L151" s="13">
        <f t="shared" si="54"/>
        <v>0</v>
      </c>
      <c r="M151" s="13">
        <f t="shared" si="55"/>
        <v>0</v>
      </c>
      <c r="O151" s="7"/>
      <c r="P151" s="11"/>
      <c r="Q151" s="13"/>
    </row>
    <row r="152" spans="1:17" x14ac:dyDescent="0.3">
      <c r="A152" s="7" t="str">
        <f t="shared" si="51"/>
        <v>WMT</v>
      </c>
      <c r="B152" s="13">
        <v>3338</v>
      </c>
      <c r="D152" s="11" t="s">
        <v>32</v>
      </c>
      <c r="E152" s="11" t="s">
        <v>26</v>
      </c>
      <c r="F152" s="13">
        <v>56</v>
      </c>
      <c r="G152" s="13">
        <f>+B154/1000*F152</f>
        <v>186.18028800000002</v>
      </c>
      <c r="H152" s="12">
        <f>+MAX(0,(F152-18)/F152)</f>
        <v>0.6785714285714286</v>
      </c>
      <c r="I152" s="13">
        <f t="shared" si="52"/>
        <v>126.33662400000001</v>
      </c>
      <c r="J152" s="13">
        <f>+$M$1</f>
        <v>1569</v>
      </c>
      <c r="K152" s="13">
        <f t="shared" si="53"/>
        <v>14</v>
      </c>
      <c r="L152" s="13">
        <f t="shared" si="54"/>
        <v>1555</v>
      </c>
      <c r="M152" s="13">
        <f t="shared" si="55"/>
        <v>6316.1250937708683</v>
      </c>
      <c r="O152" s="7"/>
      <c r="P152" s="11"/>
      <c r="Q152" s="13"/>
    </row>
    <row r="153" spans="1:17" x14ac:dyDescent="0.3">
      <c r="A153" s="7" t="str">
        <f t="shared" si="51"/>
        <v>Moisture</v>
      </c>
      <c r="B153" s="15">
        <v>4.0000000000000001E-3</v>
      </c>
      <c r="D153" s="11"/>
      <c r="E153" s="11"/>
      <c r="F153" s="13"/>
      <c r="G153" s="13"/>
      <c r="H153" s="11"/>
      <c r="I153" s="11"/>
      <c r="J153" s="13"/>
      <c r="K153" s="13"/>
      <c r="L153" s="13"/>
      <c r="M153" s="13"/>
      <c r="O153" s="7"/>
      <c r="P153" s="11"/>
      <c r="Q153" s="13"/>
    </row>
    <row r="154" spans="1:17" x14ac:dyDescent="0.3">
      <c r="A154" s="7" t="str">
        <f t="shared" si="51"/>
        <v>DMT</v>
      </c>
      <c r="B154" s="13">
        <f>+B152*(1-B153)</f>
        <v>3324.6480000000001</v>
      </c>
      <c r="D154" s="11"/>
      <c r="E154" s="11"/>
      <c r="F154" s="13"/>
      <c r="G154" s="13"/>
      <c r="H154" s="11"/>
      <c r="I154" s="11"/>
      <c r="J154" s="13"/>
      <c r="K154" s="13"/>
      <c r="L154" s="13"/>
      <c r="M154" s="13"/>
      <c r="O154" s="7" t="s">
        <v>35</v>
      </c>
      <c r="P154" s="13">
        <v>0</v>
      </c>
      <c r="Q154" s="13">
        <v>0</v>
      </c>
    </row>
    <row r="155" spans="1:17" x14ac:dyDescent="0.3">
      <c r="A155" s="7" t="str">
        <f>+A142</f>
        <v>Resultado USD / Kg</v>
      </c>
      <c r="B155" s="13">
        <f>+U157/B152</f>
        <v>0</v>
      </c>
      <c r="D155" s="11"/>
      <c r="E155" s="11"/>
      <c r="F155" s="11"/>
      <c r="G155" s="13"/>
      <c r="H155" s="11"/>
      <c r="I155" s="11"/>
      <c r="J155" s="13"/>
      <c r="K155" s="13"/>
      <c r="L155" s="13"/>
      <c r="M155" s="13"/>
      <c r="O155" s="7" t="s">
        <v>37</v>
      </c>
      <c r="P155" s="13">
        <v>0</v>
      </c>
      <c r="Q155" s="13">
        <v>0</v>
      </c>
    </row>
    <row r="156" spans="1:17" x14ac:dyDescent="0.3">
      <c r="A156" s="18" t="s">
        <v>50</v>
      </c>
      <c r="B156" s="13"/>
      <c r="D156" s="11"/>
      <c r="E156" s="11"/>
      <c r="F156" s="11"/>
      <c r="G156" s="13"/>
      <c r="H156" s="11"/>
      <c r="I156" s="11"/>
      <c r="J156" s="13"/>
      <c r="K156" s="13"/>
      <c r="L156" s="13"/>
      <c r="M156" s="13"/>
      <c r="O156" s="7"/>
      <c r="P156" s="11"/>
      <c r="Q156" s="13"/>
    </row>
    <row r="157" spans="1:17" x14ac:dyDescent="0.3">
      <c r="D157" s="11"/>
      <c r="E157" s="11"/>
      <c r="F157" s="11"/>
      <c r="G157" s="13"/>
      <c r="H157" s="11"/>
      <c r="I157" s="11"/>
      <c r="J157" s="13"/>
      <c r="K157" s="13"/>
      <c r="L157" s="13"/>
      <c r="M157" s="13"/>
      <c r="O157" s="7"/>
      <c r="P157" s="11"/>
      <c r="Q157" s="13"/>
    </row>
    <row r="159" spans="1:17" x14ac:dyDescent="0.3">
      <c r="A159" s="6" t="s">
        <v>5</v>
      </c>
      <c r="B159" s="6"/>
      <c r="D159" s="6" t="s">
        <v>6</v>
      </c>
      <c r="E159" s="6"/>
      <c r="F159" s="6"/>
      <c r="G159" s="6"/>
      <c r="H159" s="6"/>
      <c r="I159" s="6"/>
      <c r="J159" s="6"/>
      <c r="K159" s="6"/>
      <c r="L159" s="6"/>
      <c r="M159" s="6"/>
      <c r="O159" s="6" t="s">
        <v>7</v>
      </c>
      <c r="P159" s="6"/>
      <c r="Q159" s="6"/>
    </row>
    <row r="160" spans="1:17" x14ac:dyDescent="0.3">
      <c r="A160" s="7" t="str">
        <f>+A147</f>
        <v>Arrival date</v>
      </c>
      <c r="B160" s="8">
        <v>45698</v>
      </c>
      <c r="D160" s="6" t="s">
        <v>9</v>
      </c>
      <c r="E160" s="6"/>
      <c r="F160" s="6"/>
      <c r="G160" s="9" t="s">
        <v>10</v>
      </c>
      <c r="H160" s="9" t="s">
        <v>11</v>
      </c>
      <c r="I160" s="9" t="s">
        <v>12</v>
      </c>
      <c r="J160" s="9" t="s">
        <v>13</v>
      </c>
      <c r="K160" s="9" t="s">
        <v>14</v>
      </c>
      <c r="L160" s="9" t="s">
        <v>15</v>
      </c>
      <c r="M160" s="9" t="s">
        <v>16</v>
      </c>
      <c r="N160" s="10"/>
      <c r="O160" s="9" t="s">
        <v>17</v>
      </c>
      <c r="P160" s="9" t="s">
        <v>18</v>
      </c>
      <c r="Q160" s="9" t="s">
        <v>16</v>
      </c>
    </row>
    <row r="161" spans="1:17" x14ac:dyDescent="0.3">
      <c r="A161" s="7" t="str">
        <f t="shared" ref="A161:A167" si="56">+A148</f>
        <v>Receptive date</v>
      </c>
      <c r="B161" s="8">
        <f>+B160</f>
        <v>45698</v>
      </c>
      <c r="D161" s="11" t="s">
        <v>20</v>
      </c>
      <c r="E161" s="11" t="s">
        <v>21</v>
      </c>
      <c r="F161" s="12">
        <v>0.19439999999999999</v>
      </c>
      <c r="G161" s="13">
        <f>+F161*B167</f>
        <v>386.27571599999999</v>
      </c>
      <c r="H161" s="12">
        <f>+IF(F161&gt;=20,(F161-3%)/F161,IF(F161&gt;=23,(F161-5.16%)/F161,(F161-3%)/F161))</f>
        <v>0.84567901234567899</v>
      </c>
      <c r="I161" s="13">
        <f>+G161*H161</f>
        <v>326.66526599999997</v>
      </c>
      <c r="J161" s="13">
        <f>+$G$1</f>
        <v>11803.79</v>
      </c>
      <c r="K161" s="13">
        <f>+K148</f>
        <v>300</v>
      </c>
      <c r="L161" s="13">
        <f>+J161-K161</f>
        <v>11503.79</v>
      </c>
      <c r="M161" s="13">
        <f>+I161*L161/1000</f>
        <v>3757.8886203581401</v>
      </c>
      <c r="O161" s="7" t="s">
        <v>22</v>
      </c>
      <c r="P161" s="14" t="s">
        <v>23</v>
      </c>
      <c r="Q161" s="17">
        <f>600*B167/1000</f>
        <v>1192.2090000000001</v>
      </c>
    </row>
    <row r="162" spans="1:17" x14ac:dyDescent="0.3">
      <c r="A162" s="7" t="str">
        <f t="shared" si="56"/>
        <v>Customer lot No.</v>
      </c>
      <c r="B162" s="11">
        <v>811</v>
      </c>
      <c r="D162" s="11" t="s">
        <v>25</v>
      </c>
      <c r="E162" s="11" t="s">
        <v>26</v>
      </c>
      <c r="F162" s="13">
        <v>159.69999999999999</v>
      </c>
      <c r="G162" s="13">
        <f>+B167/1000*F162</f>
        <v>317.32629550000001</v>
      </c>
      <c r="H162" s="12">
        <f>+MIN(0.96,(F162-7)/F162)</f>
        <v>0.95616781465247336</v>
      </c>
      <c r="I162" s="13">
        <f t="shared" ref="I162:I165" si="57">+G162*H162</f>
        <v>303.4171905</v>
      </c>
      <c r="J162" s="13">
        <f>+$I$1</f>
        <v>4500</v>
      </c>
      <c r="K162" s="13">
        <f t="shared" ref="K162:K165" si="58">+K149</f>
        <v>5</v>
      </c>
      <c r="L162" s="13">
        <f t="shared" ref="L162:L165" si="59">+J162-K162</f>
        <v>4495</v>
      </c>
      <c r="M162" s="13">
        <f>+I162*L162/31.1034768</f>
        <v>43849.125937506127</v>
      </c>
      <c r="O162" s="7" t="s">
        <v>27</v>
      </c>
      <c r="P162" s="11">
        <v>100</v>
      </c>
      <c r="Q162" s="11">
        <f>+B165*P162/1000</f>
        <v>199.7</v>
      </c>
    </row>
    <row r="163" spans="1:17" x14ac:dyDescent="0.3">
      <c r="A163" s="7" t="str">
        <f t="shared" si="56"/>
        <v>Lot No. (JX)</v>
      </c>
      <c r="B163" s="11">
        <v>494</v>
      </c>
      <c r="D163" s="11" t="s">
        <v>29</v>
      </c>
      <c r="E163" s="11" t="s">
        <v>26</v>
      </c>
      <c r="F163" s="13">
        <v>899</v>
      </c>
      <c r="G163" s="13">
        <f>+B167/1000*F163</f>
        <v>1786.3264850000003</v>
      </c>
      <c r="H163" s="12">
        <f>+MIN(0.95,MAX(0,(F163-100)/F163))</f>
        <v>0.88876529477196886</v>
      </c>
      <c r="I163" s="13">
        <f t="shared" si="57"/>
        <v>1587.6249850000002</v>
      </c>
      <c r="J163" s="13">
        <f>+$K$1</f>
        <v>64.34</v>
      </c>
      <c r="K163" s="13">
        <f t="shared" si="58"/>
        <v>0.5</v>
      </c>
      <c r="L163" s="13">
        <f t="shared" si="59"/>
        <v>63.84</v>
      </c>
      <c r="M163" s="13">
        <f t="shared" ref="M163:M165" si="60">+I163*L163/31.1034768</f>
        <v>3258.6060939142344</v>
      </c>
      <c r="O163" s="7"/>
      <c r="P163" s="11"/>
      <c r="Q163" s="11"/>
    </row>
    <row r="164" spans="1:17" x14ac:dyDescent="0.3">
      <c r="A164" s="7"/>
      <c r="B164" s="11"/>
      <c r="D164" s="11" t="s">
        <v>30</v>
      </c>
      <c r="E164" s="11" t="s">
        <v>26</v>
      </c>
      <c r="F164" s="13"/>
      <c r="G164" s="13"/>
      <c r="H164" s="11"/>
      <c r="I164" s="13">
        <f t="shared" si="57"/>
        <v>0</v>
      </c>
      <c r="J164" s="13">
        <v>0</v>
      </c>
      <c r="K164" s="13">
        <f t="shared" si="58"/>
        <v>0</v>
      </c>
      <c r="L164" s="13">
        <f t="shared" si="59"/>
        <v>0</v>
      </c>
      <c r="M164" s="13">
        <f t="shared" si="60"/>
        <v>0</v>
      </c>
      <c r="O164" s="7"/>
      <c r="P164" s="11"/>
      <c r="Q164" s="11"/>
    </row>
    <row r="165" spans="1:17" x14ac:dyDescent="0.3">
      <c r="A165" s="7" t="str">
        <f t="shared" si="56"/>
        <v>WMT</v>
      </c>
      <c r="B165" s="13">
        <v>1997</v>
      </c>
      <c r="D165" s="11" t="s">
        <v>32</v>
      </c>
      <c r="E165" s="11" t="s">
        <v>26</v>
      </c>
      <c r="F165" s="13">
        <v>44.6</v>
      </c>
      <c r="G165" s="13">
        <f>+B167/1000*F165</f>
        <v>88.620869000000013</v>
      </c>
      <c r="H165" s="12">
        <f>+MAX(0,(F165-18)/F165)</f>
        <v>0.59641255605381172</v>
      </c>
      <c r="I165" s="13">
        <f t="shared" si="57"/>
        <v>52.854599000000015</v>
      </c>
      <c r="J165" s="13">
        <f>+$M$1</f>
        <v>1569</v>
      </c>
      <c r="K165" s="13">
        <f t="shared" si="58"/>
        <v>14</v>
      </c>
      <c r="L165" s="13">
        <f t="shared" si="59"/>
        <v>1555</v>
      </c>
      <c r="M165" s="13">
        <f t="shared" si="60"/>
        <v>2642.434541112138</v>
      </c>
      <c r="O165" s="7"/>
      <c r="P165" s="11"/>
      <c r="Q165" s="11"/>
    </row>
    <row r="166" spans="1:17" x14ac:dyDescent="0.3">
      <c r="A166" s="7" t="str">
        <f t="shared" si="56"/>
        <v>Moisture</v>
      </c>
      <c r="B166" s="15">
        <v>5.0000000000000001E-3</v>
      </c>
      <c r="D166" s="11"/>
      <c r="E166" s="11"/>
      <c r="F166" s="13"/>
      <c r="G166" s="13"/>
      <c r="H166" s="11"/>
      <c r="I166" s="11"/>
      <c r="J166" s="13"/>
      <c r="K166" s="13"/>
      <c r="L166" s="13"/>
      <c r="M166" s="13"/>
      <c r="O166" s="7"/>
      <c r="P166" s="11"/>
      <c r="Q166" s="11"/>
    </row>
    <row r="167" spans="1:17" x14ac:dyDescent="0.3">
      <c r="A167" s="7" t="str">
        <f t="shared" si="56"/>
        <v>DMT</v>
      </c>
      <c r="B167" s="13">
        <f>+B165*(1-B166)</f>
        <v>1987.0150000000001</v>
      </c>
      <c r="D167" s="11"/>
      <c r="E167" s="11"/>
      <c r="F167" s="13"/>
      <c r="G167" s="13"/>
      <c r="H167" s="11"/>
      <c r="I167" s="11"/>
      <c r="J167" s="13"/>
      <c r="K167" s="13"/>
      <c r="L167" s="13"/>
      <c r="M167" s="13"/>
      <c r="O167" s="7" t="s">
        <v>35</v>
      </c>
      <c r="P167" s="13">
        <v>0</v>
      </c>
      <c r="Q167" s="13">
        <v>0</v>
      </c>
    </row>
    <row r="168" spans="1:17" x14ac:dyDescent="0.3">
      <c r="A168" s="7" t="str">
        <f>+A155</f>
        <v>Resultado USD / Kg</v>
      </c>
      <c r="B168" s="13">
        <f>+U170/B165</f>
        <v>0</v>
      </c>
      <c r="D168" s="11"/>
      <c r="E168" s="11"/>
      <c r="F168" s="11"/>
      <c r="G168" s="13"/>
      <c r="H168" s="11"/>
      <c r="I168" s="11"/>
      <c r="J168" s="13"/>
      <c r="K168" s="13"/>
      <c r="L168" s="13"/>
      <c r="M168" s="13"/>
      <c r="O168" s="7" t="s">
        <v>37</v>
      </c>
      <c r="P168" s="13">
        <v>0</v>
      </c>
      <c r="Q168" s="13">
        <v>0</v>
      </c>
    </row>
    <row r="169" spans="1:17" x14ac:dyDescent="0.3">
      <c r="A169" s="18" t="s">
        <v>51</v>
      </c>
      <c r="B169" s="13"/>
      <c r="D169" s="11"/>
      <c r="E169" s="11"/>
      <c r="F169" s="11"/>
      <c r="G169" s="13"/>
      <c r="H169" s="11"/>
      <c r="I169" s="11"/>
      <c r="J169" s="13"/>
      <c r="K169" s="13"/>
      <c r="L169" s="13"/>
      <c r="M169" s="13"/>
      <c r="O169" s="7"/>
      <c r="P169" s="11"/>
      <c r="Q169" s="11"/>
    </row>
    <row r="170" spans="1:17" x14ac:dyDescent="0.3">
      <c r="D170" s="11"/>
      <c r="E170" s="11"/>
      <c r="F170" s="11"/>
      <c r="G170" s="13"/>
      <c r="H170" s="11"/>
      <c r="I170" s="11"/>
      <c r="J170" s="13"/>
      <c r="K170" s="13"/>
      <c r="L170" s="13"/>
      <c r="M170" s="13"/>
      <c r="O170" s="7"/>
      <c r="P170" s="11"/>
      <c r="Q170" s="11"/>
    </row>
    <row r="172" spans="1:17" x14ac:dyDescent="0.3">
      <c r="A172" s="6" t="s">
        <v>5</v>
      </c>
      <c r="B172" s="6"/>
      <c r="D172" s="6" t="s">
        <v>6</v>
      </c>
      <c r="E172" s="6"/>
      <c r="F172" s="6"/>
      <c r="G172" s="6"/>
      <c r="H172" s="6"/>
      <c r="I172" s="6"/>
      <c r="J172" s="6"/>
      <c r="K172" s="6"/>
      <c r="L172" s="6"/>
      <c r="M172" s="6"/>
      <c r="O172" s="6" t="s">
        <v>7</v>
      </c>
      <c r="P172" s="6"/>
      <c r="Q172" s="6"/>
    </row>
    <row r="173" spans="1:17" x14ac:dyDescent="0.3">
      <c r="A173" s="7" t="str">
        <f>+A160</f>
        <v>Arrival date</v>
      </c>
      <c r="B173" s="8">
        <v>45694</v>
      </c>
      <c r="D173" s="6" t="s">
        <v>9</v>
      </c>
      <c r="E173" s="6"/>
      <c r="F173" s="6"/>
      <c r="G173" s="9" t="s">
        <v>10</v>
      </c>
      <c r="H173" s="9" t="s">
        <v>11</v>
      </c>
      <c r="I173" s="9" t="s">
        <v>12</v>
      </c>
      <c r="J173" s="9" t="s">
        <v>13</v>
      </c>
      <c r="K173" s="9" t="s">
        <v>14</v>
      </c>
      <c r="L173" s="9" t="s">
        <v>15</v>
      </c>
      <c r="M173" s="9" t="s">
        <v>16</v>
      </c>
      <c r="N173" s="10"/>
      <c r="O173" s="9" t="s">
        <v>17</v>
      </c>
      <c r="P173" s="9" t="s">
        <v>18</v>
      </c>
      <c r="Q173" s="9" t="s">
        <v>16</v>
      </c>
    </row>
    <row r="174" spans="1:17" x14ac:dyDescent="0.3">
      <c r="A174" s="7" t="str">
        <f t="shared" ref="A174:A180" si="61">+A161</f>
        <v>Receptive date</v>
      </c>
      <c r="B174" s="8">
        <f>+B173</f>
        <v>45694</v>
      </c>
      <c r="D174" s="11" t="s">
        <v>20</v>
      </c>
      <c r="E174" s="11" t="s">
        <v>21</v>
      </c>
      <c r="F174" s="12">
        <v>0.16930000000000001</v>
      </c>
      <c r="G174" s="13">
        <f>+F174*B180</f>
        <v>257.07036830000004</v>
      </c>
      <c r="H174" s="12">
        <f>+IF(F174&gt;=20,(F174-3%)/F174,IF(F174&gt;=23,(F174-5.16%)/F174,(F174-3%)/F174))</f>
        <v>0.82279976373301833</v>
      </c>
      <c r="I174" s="13">
        <f>+G174*H174</f>
        <v>211.51743830000004</v>
      </c>
      <c r="J174" s="13">
        <f>+$G$1</f>
        <v>11803.79</v>
      </c>
      <c r="K174" s="13">
        <f>+K161</f>
        <v>300</v>
      </c>
      <c r="L174" s="13">
        <f>+J174-K174</f>
        <v>11503.79</v>
      </c>
      <c r="M174" s="13">
        <f>+I174*L174/1000</f>
        <v>2433.2521915411576</v>
      </c>
      <c r="O174" s="7" t="s">
        <v>22</v>
      </c>
      <c r="P174" s="14" t="s">
        <v>23</v>
      </c>
      <c r="Q174" s="17">
        <f>600*B180/1000</f>
        <v>911.05859999999996</v>
      </c>
    </row>
    <row r="175" spans="1:17" x14ac:dyDescent="0.3">
      <c r="A175" s="7" t="str">
        <f t="shared" si="61"/>
        <v>Customer lot No.</v>
      </c>
      <c r="B175" s="11">
        <v>821</v>
      </c>
      <c r="D175" s="11" t="s">
        <v>25</v>
      </c>
      <c r="E175" s="11" t="s">
        <v>26</v>
      </c>
      <c r="F175" s="13">
        <v>132.1</v>
      </c>
      <c r="G175" s="13">
        <f>+B180/1000*F175</f>
        <v>200.58473509999999</v>
      </c>
      <c r="H175" s="12">
        <f>+MIN(0.96,(F175-7)/F175)</f>
        <v>0.94700984102952313</v>
      </c>
      <c r="I175" s="13">
        <f t="shared" ref="I175:I178" si="62">+G175*H175</f>
        <v>189.95571809999998</v>
      </c>
      <c r="J175" s="13">
        <f>+$I$1</f>
        <v>4500</v>
      </c>
      <c r="K175" s="13">
        <f t="shared" ref="K175:K178" si="63">+K162</f>
        <v>5</v>
      </c>
      <c r="L175" s="13">
        <f t="shared" ref="L175:L178" si="64">+J175-K175</f>
        <v>4495</v>
      </c>
      <c r="M175" s="13">
        <f>+I175*L175/31.1034768</f>
        <v>27451.945592767301</v>
      </c>
      <c r="O175" s="7" t="s">
        <v>27</v>
      </c>
      <c r="P175" s="11">
        <v>100</v>
      </c>
      <c r="Q175" s="11">
        <f>+B178*P175/1000</f>
        <v>152.30000000000001</v>
      </c>
    </row>
    <row r="176" spans="1:17" x14ac:dyDescent="0.3">
      <c r="A176" s="7" t="str">
        <f t="shared" si="61"/>
        <v>Lot No. (JX)</v>
      </c>
      <c r="B176" s="11">
        <v>129</v>
      </c>
      <c r="D176" s="11" t="s">
        <v>29</v>
      </c>
      <c r="E176" s="11" t="s">
        <v>26</v>
      </c>
      <c r="F176" s="13">
        <v>624</v>
      </c>
      <c r="G176" s="13">
        <f>+B180/1000*F176</f>
        <v>947.500944</v>
      </c>
      <c r="H176" s="12">
        <f>+MIN(0.95,MAX(0,(F176-100)/F176))</f>
        <v>0.83974358974358976</v>
      </c>
      <c r="I176" s="13">
        <f t="shared" si="62"/>
        <v>795.65784400000007</v>
      </c>
      <c r="J176" s="13">
        <f>+$K$1</f>
        <v>64.34</v>
      </c>
      <c r="K176" s="13">
        <f t="shared" si="63"/>
        <v>0.5</v>
      </c>
      <c r="L176" s="13">
        <f t="shared" si="64"/>
        <v>63.84</v>
      </c>
      <c r="M176" s="13">
        <f t="shared" ref="M176:M178" si="65">+I176*L176/31.1034768</f>
        <v>1633.0906376665907</v>
      </c>
      <c r="O176" s="7"/>
      <c r="P176" s="11"/>
      <c r="Q176" s="11"/>
    </row>
    <row r="177" spans="1:17" x14ac:dyDescent="0.3">
      <c r="A177" s="7"/>
      <c r="B177" s="11"/>
      <c r="D177" s="11" t="s">
        <v>30</v>
      </c>
      <c r="E177" s="11" t="s">
        <v>26</v>
      </c>
      <c r="F177" s="13"/>
      <c r="G177" s="13"/>
      <c r="H177" s="11"/>
      <c r="I177" s="13">
        <f t="shared" si="62"/>
        <v>0</v>
      </c>
      <c r="J177" s="13">
        <v>0</v>
      </c>
      <c r="K177" s="13">
        <f t="shared" si="63"/>
        <v>0</v>
      </c>
      <c r="L177" s="13">
        <f t="shared" si="64"/>
        <v>0</v>
      </c>
      <c r="M177" s="13">
        <f t="shared" si="65"/>
        <v>0</v>
      </c>
      <c r="O177" s="7"/>
      <c r="P177" s="11"/>
      <c r="Q177" s="11"/>
    </row>
    <row r="178" spans="1:17" x14ac:dyDescent="0.3">
      <c r="A178" s="7" t="str">
        <f t="shared" si="61"/>
        <v>WMT</v>
      </c>
      <c r="B178" s="13">
        <v>1523</v>
      </c>
      <c r="D178" s="11" t="s">
        <v>32</v>
      </c>
      <c r="E178" s="11" t="s">
        <v>26</v>
      </c>
      <c r="F178" s="13">
        <v>153.69999999999999</v>
      </c>
      <c r="G178" s="13">
        <f>+B180/1000*F178</f>
        <v>233.38284469999999</v>
      </c>
      <c r="H178" s="12">
        <f>+MAX(0,(F178-18)/F178)</f>
        <v>0.88288874430709174</v>
      </c>
      <c r="I178" s="13">
        <f t="shared" si="62"/>
        <v>206.05108669999998</v>
      </c>
      <c r="J178" s="13">
        <f>+$M$1</f>
        <v>1569</v>
      </c>
      <c r="K178" s="13">
        <f t="shared" si="63"/>
        <v>14</v>
      </c>
      <c r="L178" s="13">
        <f t="shared" si="64"/>
        <v>1555</v>
      </c>
      <c r="M178" s="13">
        <f t="shared" si="65"/>
        <v>10301.402697800651</v>
      </c>
      <c r="O178" s="7"/>
      <c r="P178" s="11"/>
      <c r="Q178" s="11"/>
    </row>
    <row r="179" spans="1:17" x14ac:dyDescent="0.3">
      <c r="A179" s="7" t="str">
        <f t="shared" si="61"/>
        <v>Moisture</v>
      </c>
      <c r="B179" s="15">
        <v>3.0000000000000001E-3</v>
      </c>
      <c r="D179" s="11"/>
      <c r="E179" s="11"/>
      <c r="F179" s="11"/>
      <c r="G179" s="13"/>
      <c r="H179" s="11"/>
      <c r="I179" s="11"/>
      <c r="J179" s="13"/>
      <c r="K179" s="13"/>
      <c r="L179" s="13"/>
      <c r="M179" s="13"/>
      <c r="O179" s="7"/>
      <c r="P179" s="11"/>
      <c r="Q179" s="11"/>
    </row>
    <row r="180" spans="1:17" x14ac:dyDescent="0.3">
      <c r="A180" s="7" t="str">
        <f t="shared" si="61"/>
        <v>DMT</v>
      </c>
      <c r="B180" s="13">
        <f>+B178*(1-B179)</f>
        <v>1518.431</v>
      </c>
      <c r="D180" s="11"/>
      <c r="E180" s="11"/>
      <c r="F180" s="11"/>
      <c r="G180" s="13"/>
      <c r="H180" s="11"/>
      <c r="I180" s="11"/>
      <c r="J180" s="13"/>
      <c r="K180" s="13"/>
      <c r="L180" s="13"/>
      <c r="M180" s="13"/>
      <c r="O180" s="7" t="s">
        <v>35</v>
      </c>
      <c r="P180" s="13">
        <v>0</v>
      </c>
      <c r="Q180" s="13">
        <v>0</v>
      </c>
    </row>
    <row r="181" spans="1:17" x14ac:dyDescent="0.3">
      <c r="A181" s="7" t="str">
        <f>+A168</f>
        <v>Resultado USD / Kg</v>
      </c>
      <c r="B181" s="13">
        <f>+U183/B178</f>
        <v>0</v>
      </c>
      <c r="D181" s="11"/>
      <c r="E181" s="11"/>
      <c r="F181" s="11"/>
      <c r="G181" s="13"/>
      <c r="H181" s="11"/>
      <c r="I181" s="11"/>
      <c r="J181" s="13"/>
      <c r="K181" s="13"/>
      <c r="L181" s="13"/>
      <c r="M181" s="13"/>
      <c r="O181" s="7" t="s">
        <v>37</v>
      </c>
      <c r="P181" s="13">
        <v>0</v>
      </c>
      <c r="Q181" s="13">
        <v>0</v>
      </c>
    </row>
    <row r="182" spans="1:17" x14ac:dyDescent="0.3">
      <c r="A182" s="18" t="s">
        <v>51</v>
      </c>
      <c r="B182" s="13"/>
      <c r="D182" s="11"/>
      <c r="E182" s="11"/>
      <c r="F182" s="11"/>
      <c r="G182" s="13"/>
      <c r="H182" s="11"/>
      <c r="I182" s="11"/>
      <c r="J182" s="13"/>
      <c r="K182" s="13"/>
      <c r="L182" s="13"/>
      <c r="M182" s="13"/>
      <c r="O182" s="7"/>
      <c r="P182" s="11"/>
      <c r="Q182" s="11"/>
    </row>
    <row r="183" spans="1:17" x14ac:dyDescent="0.3">
      <c r="D183" s="11"/>
      <c r="E183" s="11"/>
      <c r="F183" s="11"/>
      <c r="G183" s="13"/>
      <c r="H183" s="11"/>
      <c r="I183" s="11"/>
      <c r="J183" s="13"/>
      <c r="K183" s="13"/>
      <c r="L183" s="13"/>
      <c r="M183" s="13"/>
      <c r="O183" s="7"/>
      <c r="P183" s="11"/>
      <c r="Q183" s="11"/>
    </row>
    <row r="185" spans="1:17" x14ac:dyDescent="0.3">
      <c r="A185" s="6" t="s">
        <v>5</v>
      </c>
      <c r="B185" s="6"/>
      <c r="D185" s="6" t="s">
        <v>6</v>
      </c>
      <c r="E185" s="6"/>
      <c r="F185" s="6"/>
      <c r="G185" s="6"/>
      <c r="H185" s="6"/>
      <c r="I185" s="6"/>
      <c r="J185" s="6"/>
      <c r="K185" s="6"/>
      <c r="L185" s="6"/>
      <c r="M185" s="6"/>
      <c r="O185" s="6" t="s">
        <v>7</v>
      </c>
      <c r="P185" s="6"/>
      <c r="Q185" s="6"/>
    </row>
    <row r="186" spans="1:17" x14ac:dyDescent="0.3">
      <c r="A186" s="7" t="str">
        <f>+A173</f>
        <v>Arrival date</v>
      </c>
      <c r="B186" s="8">
        <v>45698</v>
      </c>
      <c r="D186" s="6" t="s">
        <v>9</v>
      </c>
      <c r="E186" s="6"/>
      <c r="F186" s="6"/>
      <c r="G186" s="9" t="s">
        <v>10</v>
      </c>
      <c r="H186" s="9" t="s">
        <v>11</v>
      </c>
      <c r="I186" s="9" t="s">
        <v>12</v>
      </c>
      <c r="J186" s="9" t="s">
        <v>13</v>
      </c>
      <c r="K186" s="9" t="s">
        <v>14</v>
      </c>
      <c r="L186" s="9" t="s">
        <v>15</v>
      </c>
      <c r="M186" s="9" t="s">
        <v>16</v>
      </c>
      <c r="N186" s="10"/>
      <c r="O186" s="9" t="s">
        <v>17</v>
      </c>
      <c r="P186" s="9" t="s">
        <v>18</v>
      </c>
      <c r="Q186" s="9" t="s">
        <v>16</v>
      </c>
    </row>
    <row r="187" spans="1:17" x14ac:dyDescent="0.3">
      <c r="A187" s="7" t="str">
        <f t="shared" ref="A187:A193" si="66">+A174</f>
        <v>Receptive date</v>
      </c>
      <c r="B187" s="8">
        <f>+B186</f>
        <v>45698</v>
      </c>
      <c r="D187" s="11" t="s">
        <v>20</v>
      </c>
      <c r="E187" s="11" t="s">
        <v>21</v>
      </c>
      <c r="F187" s="12">
        <v>0.20480000000000001</v>
      </c>
      <c r="G187" s="13">
        <f>+F187*B193</f>
        <v>296.80680960000001</v>
      </c>
      <c r="H187" s="12">
        <f>+IF(F187&gt;=20,(F187-3%)/F187,IF(F187&gt;=23,(F187-5.16%)/F187,(F187-3%)/F187))</f>
        <v>0.853515625</v>
      </c>
      <c r="I187" s="13">
        <f>+G187*H187</f>
        <v>253.3292496</v>
      </c>
      <c r="J187" s="13">
        <f>+$G$1</f>
        <v>11803.79</v>
      </c>
      <c r="K187" s="13">
        <f>+K174</f>
        <v>300</v>
      </c>
      <c r="L187" s="13">
        <f>+J187-K187</f>
        <v>11503.79</v>
      </c>
      <c r="M187" s="13">
        <f>+I187*L187/1000</f>
        <v>2914.2464882559843</v>
      </c>
      <c r="O187" s="7" t="s">
        <v>22</v>
      </c>
      <c r="P187" s="14" t="s">
        <v>23</v>
      </c>
      <c r="Q187" s="17">
        <f>600*B193/1000</f>
        <v>869.55119999999999</v>
      </c>
    </row>
    <row r="188" spans="1:17" x14ac:dyDescent="0.3">
      <c r="A188" s="7" t="str">
        <f t="shared" si="66"/>
        <v>Customer lot No.</v>
      </c>
      <c r="B188" s="11">
        <v>831</v>
      </c>
      <c r="D188" s="11" t="s">
        <v>25</v>
      </c>
      <c r="E188" s="11" t="s">
        <v>26</v>
      </c>
      <c r="F188" s="13">
        <v>178.2</v>
      </c>
      <c r="G188" s="13">
        <f>+B193/1000*F188</f>
        <v>258.25670639999998</v>
      </c>
      <c r="H188" s="12">
        <f>+MIN(0.96,(F188-7)/F188)</f>
        <v>0.96</v>
      </c>
      <c r="I188" s="13">
        <f t="shared" ref="I188:I191" si="67">+G188*H188</f>
        <v>247.92643814399997</v>
      </c>
      <c r="J188" s="13">
        <f>+$I$1</f>
        <v>4500</v>
      </c>
      <c r="K188" s="13">
        <f t="shared" ref="K188:K191" si="68">+K175</f>
        <v>5</v>
      </c>
      <c r="L188" s="13">
        <f t="shared" ref="L188:L191" si="69">+J188-K188</f>
        <v>4495</v>
      </c>
      <c r="M188" s="13">
        <f>+I188*L188/31.1034768</f>
        <v>35829.735261534486</v>
      </c>
      <c r="O188" s="7" t="s">
        <v>27</v>
      </c>
      <c r="P188" s="11">
        <v>100</v>
      </c>
      <c r="Q188" s="11">
        <f>+B191*P188/1000</f>
        <v>145.80000000000001</v>
      </c>
    </row>
    <row r="189" spans="1:17" x14ac:dyDescent="0.3">
      <c r="A189" s="7" t="str">
        <f t="shared" si="66"/>
        <v>Lot No. (JX)</v>
      </c>
      <c r="B189" s="11">
        <v>495</v>
      </c>
      <c r="D189" s="11" t="s">
        <v>29</v>
      </c>
      <c r="E189" s="11" t="s">
        <v>26</v>
      </c>
      <c r="F189" s="13">
        <v>663</v>
      </c>
      <c r="G189" s="13">
        <f>+B193/1000*F189</f>
        <v>960.85407599999996</v>
      </c>
      <c r="H189" s="12">
        <f>+MIN(0.95,MAX(0,(F189-100)/F189))</f>
        <v>0.8491704374057315</v>
      </c>
      <c r="I189" s="13">
        <f t="shared" si="67"/>
        <v>815.92887599999995</v>
      </c>
      <c r="J189" s="13">
        <f>+$K$1</f>
        <v>64.34</v>
      </c>
      <c r="K189" s="13">
        <f t="shared" si="68"/>
        <v>0.5</v>
      </c>
      <c r="L189" s="13">
        <f t="shared" si="69"/>
        <v>63.84</v>
      </c>
      <c r="M189" s="13">
        <f t="shared" ref="M189:M191" si="70">+I189*L189/31.1034768</f>
        <v>1674.6970050576467</v>
      </c>
      <c r="O189" s="7"/>
      <c r="P189" s="11"/>
      <c r="Q189" s="11"/>
    </row>
    <row r="190" spans="1:17" x14ac:dyDescent="0.3">
      <c r="A190" s="7"/>
      <c r="B190" s="11"/>
      <c r="D190" s="11" t="s">
        <v>30</v>
      </c>
      <c r="E190" s="11" t="s">
        <v>26</v>
      </c>
      <c r="F190" s="13"/>
      <c r="G190" s="13"/>
      <c r="H190" s="11"/>
      <c r="I190" s="13">
        <f t="shared" si="67"/>
        <v>0</v>
      </c>
      <c r="J190" s="13">
        <v>0</v>
      </c>
      <c r="K190" s="13">
        <f t="shared" si="68"/>
        <v>0</v>
      </c>
      <c r="L190" s="13">
        <f t="shared" si="69"/>
        <v>0</v>
      </c>
      <c r="M190" s="13">
        <f t="shared" si="70"/>
        <v>0</v>
      </c>
      <c r="O190" s="7"/>
      <c r="P190" s="11"/>
      <c r="Q190" s="11"/>
    </row>
    <row r="191" spans="1:17" x14ac:dyDescent="0.3">
      <c r="A191" s="7" t="str">
        <f t="shared" si="66"/>
        <v>WMT</v>
      </c>
      <c r="B191" s="13">
        <v>1458</v>
      </c>
      <c r="D191" s="11" t="s">
        <v>32</v>
      </c>
      <c r="E191" s="11" t="s">
        <v>26</v>
      </c>
      <c r="F191" s="13">
        <v>36.6</v>
      </c>
      <c r="G191" s="13">
        <f>+B193/1000*F191</f>
        <v>53.042623200000001</v>
      </c>
      <c r="H191" s="12">
        <f>+MAX(0,(F191-18)/F191)</f>
        <v>0.50819672131147542</v>
      </c>
      <c r="I191" s="13">
        <f t="shared" si="67"/>
        <v>26.956087200000002</v>
      </c>
      <c r="J191" s="13">
        <f>+$M$1</f>
        <v>1569</v>
      </c>
      <c r="K191" s="13">
        <f t="shared" si="68"/>
        <v>14</v>
      </c>
      <c r="L191" s="13">
        <f t="shared" si="69"/>
        <v>1555</v>
      </c>
      <c r="M191" s="13">
        <f t="shared" si="70"/>
        <v>1347.6537001162521</v>
      </c>
      <c r="O191" s="7"/>
      <c r="P191" s="11"/>
      <c r="Q191" s="11"/>
    </row>
    <row r="192" spans="1:17" x14ac:dyDescent="0.3">
      <c r="A192" s="7" t="str">
        <f t="shared" si="66"/>
        <v>Moisture</v>
      </c>
      <c r="B192" s="15">
        <v>6.0000000000000001E-3</v>
      </c>
      <c r="D192" s="11"/>
      <c r="E192" s="11"/>
      <c r="F192" s="11"/>
      <c r="G192" s="13"/>
      <c r="H192" s="11"/>
      <c r="I192" s="11"/>
      <c r="J192" s="13"/>
      <c r="K192" s="13"/>
      <c r="L192" s="13"/>
      <c r="M192" s="13"/>
      <c r="O192" s="7"/>
      <c r="P192" s="11"/>
      <c r="Q192" s="11"/>
    </row>
    <row r="193" spans="1:17" x14ac:dyDescent="0.3">
      <c r="A193" s="7" t="str">
        <f t="shared" si="66"/>
        <v>DMT</v>
      </c>
      <c r="B193" s="13">
        <f>+B191*(1-B192)</f>
        <v>1449.252</v>
      </c>
      <c r="D193" s="11"/>
      <c r="E193" s="11"/>
      <c r="F193" s="11"/>
      <c r="G193" s="13"/>
      <c r="H193" s="11"/>
      <c r="I193" s="11"/>
      <c r="J193" s="13"/>
      <c r="K193" s="13"/>
      <c r="L193" s="13"/>
      <c r="M193" s="13"/>
      <c r="O193" s="7" t="s">
        <v>35</v>
      </c>
      <c r="P193" s="13">
        <v>0</v>
      </c>
      <c r="Q193" s="13">
        <v>0</v>
      </c>
    </row>
    <row r="194" spans="1:17" x14ac:dyDescent="0.3">
      <c r="A194" s="7" t="str">
        <f>+A181</f>
        <v>Resultado USD / Kg</v>
      </c>
      <c r="B194" s="13">
        <f>+U196/B191</f>
        <v>0</v>
      </c>
      <c r="D194" s="11"/>
      <c r="E194" s="11"/>
      <c r="F194" s="11"/>
      <c r="G194" s="13"/>
      <c r="H194" s="11"/>
      <c r="I194" s="11"/>
      <c r="J194" s="13"/>
      <c r="K194" s="13"/>
      <c r="L194" s="13"/>
      <c r="M194" s="13"/>
      <c r="O194" s="7" t="s">
        <v>37</v>
      </c>
      <c r="P194" s="13">
        <v>0</v>
      </c>
      <c r="Q194" s="13">
        <v>0</v>
      </c>
    </row>
    <row r="195" spans="1:17" x14ac:dyDescent="0.3">
      <c r="A195" s="16" t="s">
        <v>52</v>
      </c>
      <c r="B195" s="13"/>
      <c r="D195" s="11"/>
      <c r="E195" s="11"/>
      <c r="F195" s="11"/>
      <c r="G195" s="13"/>
      <c r="H195" s="11"/>
      <c r="I195" s="11"/>
      <c r="J195" s="13"/>
      <c r="K195" s="13"/>
      <c r="L195" s="13"/>
      <c r="M195" s="13"/>
      <c r="O195" s="7"/>
      <c r="P195" s="11"/>
      <c r="Q195" s="11"/>
    </row>
    <row r="196" spans="1:17" x14ac:dyDescent="0.3">
      <c r="D196" s="11"/>
      <c r="E196" s="11"/>
      <c r="F196" s="11"/>
      <c r="G196" s="13"/>
      <c r="H196" s="11"/>
      <c r="I196" s="11"/>
      <c r="J196" s="13"/>
      <c r="K196" s="13"/>
      <c r="L196" s="13"/>
      <c r="M196" s="13"/>
      <c r="O196" s="7"/>
      <c r="P196" s="11"/>
      <c r="Q196" s="11"/>
    </row>
    <row r="198" spans="1:17" x14ac:dyDescent="0.3">
      <c r="A198" s="6" t="s">
        <v>5</v>
      </c>
      <c r="B198" s="6"/>
      <c r="D198" s="6" t="s">
        <v>6</v>
      </c>
      <c r="E198" s="6"/>
      <c r="F198" s="6"/>
      <c r="G198" s="6"/>
      <c r="H198" s="6"/>
      <c r="I198" s="6"/>
      <c r="J198" s="6"/>
      <c r="K198" s="6"/>
      <c r="L198" s="6"/>
      <c r="M198" s="6"/>
      <c r="O198" s="6" t="s">
        <v>7</v>
      </c>
      <c r="P198" s="6"/>
      <c r="Q198" s="6"/>
    </row>
    <row r="199" spans="1:17" x14ac:dyDescent="0.3">
      <c r="A199" s="7" t="str">
        <f>+A186</f>
        <v>Arrival date</v>
      </c>
      <c r="B199" s="8">
        <v>45693</v>
      </c>
      <c r="D199" s="6" t="s">
        <v>9</v>
      </c>
      <c r="E199" s="6"/>
      <c r="F199" s="6"/>
      <c r="G199" s="9" t="s">
        <v>10</v>
      </c>
      <c r="H199" s="9" t="s">
        <v>11</v>
      </c>
      <c r="I199" s="9" t="s">
        <v>12</v>
      </c>
      <c r="J199" s="9" t="s">
        <v>13</v>
      </c>
      <c r="K199" s="9" t="s">
        <v>14</v>
      </c>
      <c r="L199" s="9" t="s">
        <v>15</v>
      </c>
      <c r="M199" s="9" t="s">
        <v>16</v>
      </c>
      <c r="N199" s="10"/>
      <c r="O199" s="9" t="s">
        <v>17</v>
      </c>
      <c r="P199" s="9" t="s">
        <v>18</v>
      </c>
      <c r="Q199" s="9" t="s">
        <v>16</v>
      </c>
    </row>
    <row r="200" spans="1:17" x14ac:dyDescent="0.3">
      <c r="A200" s="7" t="str">
        <f t="shared" ref="A200:A206" si="71">+A187</f>
        <v>Receptive date</v>
      </c>
      <c r="B200" s="8">
        <f>+B199</f>
        <v>45693</v>
      </c>
      <c r="D200" s="11" t="s">
        <v>20</v>
      </c>
      <c r="E200" s="11" t="s">
        <v>21</v>
      </c>
      <c r="F200" s="12">
        <v>0.1333</v>
      </c>
      <c r="G200" s="13">
        <f>+F200*B206</f>
        <v>2.9325999999999999</v>
      </c>
      <c r="H200" s="12">
        <f>+IF(F200&gt;=20,(F200-3%)/F200,IF(F200&gt;=23,(F200-5.16%)/F200,(F200-3%)/F200))</f>
        <v>0.77494373593398347</v>
      </c>
      <c r="I200" s="13">
        <f>+G200*H200</f>
        <v>2.2725999999999997</v>
      </c>
      <c r="J200" s="13">
        <f>+$G$1</f>
        <v>11803.79</v>
      </c>
      <c r="K200" s="13">
        <f>+K187</f>
        <v>300</v>
      </c>
      <c r="L200" s="13">
        <f>+J200-K200</f>
        <v>11503.79</v>
      </c>
      <c r="M200" s="13">
        <f>+I200*L200/1000</f>
        <v>26.143513154000001</v>
      </c>
      <c r="O200" s="7" t="s">
        <v>22</v>
      </c>
      <c r="P200" s="14" t="s">
        <v>23</v>
      </c>
      <c r="Q200" s="17">
        <f>600*B206/1000</f>
        <v>13.2</v>
      </c>
    </row>
    <row r="201" spans="1:17" x14ac:dyDescent="0.3">
      <c r="A201" s="7" t="str">
        <f t="shared" si="71"/>
        <v>Customer lot No.</v>
      </c>
      <c r="B201" s="11">
        <v>841</v>
      </c>
      <c r="D201" s="11" t="s">
        <v>25</v>
      </c>
      <c r="E201" s="11" t="s">
        <v>26</v>
      </c>
      <c r="F201" s="13">
        <v>4496</v>
      </c>
      <c r="G201" s="13">
        <f>+B206/1000*F201</f>
        <v>98.911999999999992</v>
      </c>
      <c r="H201" s="12">
        <f>+MIN(0.96,(F201-7)/F201)</f>
        <v>0.96</v>
      </c>
      <c r="I201" s="13">
        <f t="shared" ref="I201:I204" si="72">+G201*H201</f>
        <v>94.955519999999993</v>
      </c>
      <c r="J201" s="13">
        <f>+$I$1</f>
        <v>4500</v>
      </c>
      <c r="K201" s="13">
        <f t="shared" ref="K201:K204" si="73">+K188</f>
        <v>5</v>
      </c>
      <c r="L201" s="13">
        <f t="shared" ref="L201:L204" si="74">+J201-K201</f>
        <v>4495</v>
      </c>
      <c r="M201" s="13">
        <f>+I201*L201/31.1034768</f>
        <v>13722.744410361223</v>
      </c>
      <c r="O201" s="7" t="s">
        <v>27</v>
      </c>
      <c r="P201" s="11">
        <v>100</v>
      </c>
      <c r="Q201" s="11">
        <f>+B204*P201/1000</f>
        <v>2.2000000000000002</v>
      </c>
    </row>
    <row r="202" spans="1:17" x14ac:dyDescent="0.3">
      <c r="A202" s="7" t="str">
        <f t="shared" si="71"/>
        <v>Lot No. (JX)</v>
      </c>
      <c r="B202" s="11">
        <v>66</v>
      </c>
      <c r="D202" s="11" t="s">
        <v>29</v>
      </c>
      <c r="E202" s="11" t="s">
        <v>26</v>
      </c>
      <c r="F202" s="13">
        <v>4724</v>
      </c>
      <c r="G202" s="13">
        <f>+B206/1000*F202</f>
        <v>103.928</v>
      </c>
      <c r="H202" s="12">
        <f>+MIN(0.95,MAX(0,(F202-100)/F202))</f>
        <v>0.95</v>
      </c>
      <c r="I202" s="13">
        <f t="shared" si="72"/>
        <v>98.731599999999986</v>
      </c>
      <c r="J202" s="13">
        <f>+$K$1</f>
        <v>64.34</v>
      </c>
      <c r="K202" s="13">
        <f t="shared" si="73"/>
        <v>0.5</v>
      </c>
      <c r="L202" s="13">
        <f t="shared" si="74"/>
        <v>63.84</v>
      </c>
      <c r="M202" s="13">
        <f t="shared" ref="M202:M204" si="75">+I202*L202/31.1034768</f>
        <v>202.64697045058318</v>
      </c>
      <c r="O202" s="7"/>
      <c r="P202" s="11"/>
      <c r="Q202" s="11"/>
    </row>
    <row r="203" spans="1:17" x14ac:dyDescent="0.3">
      <c r="A203" s="7"/>
      <c r="B203" s="11"/>
      <c r="D203" s="11" t="s">
        <v>30</v>
      </c>
      <c r="E203" s="11" t="s">
        <v>26</v>
      </c>
      <c r="F203" s="13"/>
      <c r="G203" s="13"/>
      <c r="H203" s="11"/>
      <c r="I203" s="13">
        <f t="shared" si="72"/>
        <v>0</v>
      </c>
      <c r="J203" s="13">
        <v>0</v>
      </c>
      <c r="K203" s="13">
        <f t="shared" si="73"/>
        <v>0</v>
      </c>
      <c r="L203" s="13">
        <f t="shared" si="74"/>
        <v>0</v>
      </c>
      <c r="M203" s="13">
        <f t="shared" si="75"/>
        <v>0</v>
      </c>
      <c r="O203" s="7"/>
      <c r="P203" s="11"/>
      <c r="Q203" s="11"/>
    </row>
    <row r="204" spans="1:17" x14ac:dyDescent="0.3">
      <c r="A204" s="7" t="str">
        <f t="shared" si="71"/>
        <v>WMT</v>
      </c>
      <c r="B204" s="13">
        <v>22</v>
      </c>
      <c r="D204" s="11" t="s">
        <v>32</v>
      </c>
      <c r="E204" s="11" t="s">
        <v>26</v>
      </c>
      <c r="F204" s="13">
        <v>17</v>
      </c>
      <c r="G204" s="13">
        <f>+B206/1000*F204</f>
        <v>0.374</v>
      </c>
      <c r="H204" s="12">
        <f>+MAX(0,(F204-18)/F204)</f>
        <v>0</v>
      </c>
      <c r="I204" s="13">
        <f t="shared" si="72"/>
        <v>0</v>
      </c>
      <c r="J204" s="13">
        <f>+$M$1</f>
        <v>1569</v>
      </c>
      <c r="K204" s="13">
        <f t="shared" si="73"/>
        <v>14</v>
      </c>
      <c r="L204" s="13">
        <f t="shared" si="74"/>
        <v>1555</v>
      </c>
      <c r="M204" s="13">
        <f t="shared" si="75"/>
        <v>0</v>
      </c>
      <c r="O204" s="7"/>
      <c r="P204" s="11"/>
      <c r="Q204" s="11"/>
    </row>
    <row r="205" spans="1:17" x14ac:dyDescent="0.3">
      <c r="A205" s="7" t="str">
        <f t="shared" si="71"/>
        <v>Moisture</v>
      </c>
      <c r="B205" s="15">
        <v>0</v>
      </c>
      <c r="D205" s="11"/>
      <c r="E205" s="11"/>
      <c r="F205" s="11"/>
      <c r="G205" s="13"/>
      <c r="H205" s="11"/>
      <c r="I205" s="11"/>
      <c r="J205" s="13"/>
      <c r="K205" s="13"/>
      <c r="L205" s="13"/>
      <c r="M205" s="13"/>
      <c r="O205" s="7"/>
      <c r="P205" s="11"/>
      <c r="Q205" s="11"/>
    </row>
    <row r="206" spans="1:17" x14ac:dyDescent="0.3">
      <c r="A206" s="7" t="str">
        <f t="shared" si="71"/>
        <v>DMT</v>
      </c>
      <c r="B206" s="13">
        <f>+B204*(1-B205)</f>
        <v>22</v>
      </c>
      <c r="D206" s="11"/>
      <c r="E206" s="11"/>
      <c r="F206" s="11"/>
      <c r="G206" s="13"/>
      <c r="H206" s="11"/>
      <c r="I206" s="11"/>
      <c r="J206" s="13"/>
      <c r="K206" s="13"/>
      <c r="L206" s="13"/>
      <c r="M206" s="13"/>
      <c r="O206" s="7" t="s">
        <v>35</v>
      </c>
      <c r="P206" s="13">
        <v>0</v>
      </c>
      <c r="Q206" s="13">
        <v>0</v>
      </c>
    </row>
    <row r="207" spans="1:17" x14ac:dyDescent="0.3">
      <c r="A207" s="7" t="str">
        <f>+A194</f>
        <v>Resultado USD / Kg</v>
      </c>
      <c r="B207" s="13">
        <f>+U209/B204</f>
        <v>0</v>
      </c>
      <c r="D207" s="11"/>
      <c r="E207" s="11"/>
      <c r="F207" s="11"/>
      <c r="G207" s="13"/>
      <c r="H207" s="11"/>
      <c r="I207" s="11"/>
      <c r="J207" s="13"/>
      <c r="K207" s="13"/>
      <c r="L207" s="13"/>
      <c r="M207" s="13"/>
      <c r="O207" s="7" t="s">
        <v>37</v>
      </c>
      <c r="P207" s="13">
        <v>0</v>
      </c>
      <c r="Q207" s="13">
        <v>0</v>
      </c>
    </row>
    <row r="208" spans="1:17" x14ac:dyDescent="0.3">
      <c r="A208" s="16" t="s">
        <v>53</v>
      </c>
      <c r="B208" s="13"/>
      <c r="D208" s="11"/>
      <c r="E208" s="11"/>
      <c r="F208" s="11"/>
      <c r="G208" s="13"/>
      <c r="H208" s="11"/>
      <c r="I208" s="11"/>
      <c r="J208" s="13"/>
      <c r="K208" s="13"/>
      <c r="L208" s="13"/>
      <c r="M208" s="13"/>
      <c r="O208" s="7"/>
      <c r="P208" s="11"/>
      <c r="Q208" s="11"/>
    </row>
    <row r="209" spans="1:17" x14ac:dyDescent="0.3">
      <c r="D209" s="11"/>
      <c r="E209" s="11"/>
      <c r="F209" s="11"/>
      <c r="G209" s="13"/>
      <c r="H209" s="11"/>
      <c r="I209" s="11"/>
      <c r="J209" s="13"/>
      <c r="K209" s="13"/>
      <c r="L209" s="13"/>
      <c r="M209" s="13"/>
      <c r="O209" s="7"/>
      <c r="P209" s="11"/>
      <c r="Q209" s="11"/>
    </row>
    <row r="211" spans="1:17" x14ac:dyDescent="0.3">
      <c r="A211" s="6" t="s">
        <v>5</v>
      </c>
      <c r="B211" s="6"/>
      <c r="D211" s="6" t="s">
        <v>6</v>
      </c>
      <c r="E211" s="6"/>
      <c r="F211" s="6"/>
      <c r="G211" s="6"/>
      <c r="H211" s="6"/>
      <c r="I211" s="6"/>
      <c r="J211" s="6"/>
      <c r="K211" s="6"/>
      <c r="L211" s="6"/>
      <c r="M211" s="6"/>
      <c r="O211" s="6" t="s">
        <v>7</v>
      </c>
      <c r="P211" s="6"/>
      <c r="Q211" s="6"/>
    </row>
    <row r="212" spans="1:17" x14ac:dyDescent="0.3">
      <c r="A212" s="7" t="str">
        <f>+A199</f>
        <v>Arrival date</v>
      </c>
      <c r="B212" s="8">
        <v>45693</v>
      </c>
      <c r="D212" s="6" t="s">
        <v>9</v>
      </c>
      <c r="E212" s="6"/>
      <c r="F212" s="6"/>
      <c r="G212" s="9" t="s">
        <v>10</v>
      </c>
      <c r="H212" s="9" t="s">
        <v>11</v>
      </c>
      <c r="I212" s="9" t="s">
        <v>12</v>
      </c>
      <c r="J212" s="9" t="s">
        <v>13</v>
      </c>
      <c r="K212" s="9" t="s">
        <v>14</v>
      </c>
      <c r="L212" s="9" t="s">
        <v>15</v>
      </c>
      <c r="M212" s="9" t="s">
        <v>16</v>
      </c>
      <c r="N212" s="10"/>
      <c r="O212" s="9" t="s">
        <v>17</v>
      </c>
      <c r="P212" s="9" t="s">
        <v>18</v>
      </c>
      <c r="Q212" s="9" t="s">
        <v>16</v>
      </c>
    </row>
    <row r="213" spans="1:17" x14ac:dyDescent="0.3">
      <c r="A213" s="7" t="str">
        <f t="shared" ref="A213:A219" si="76">+A200</f>
        <v>Receptive date</v>
      </c>
      <c r="B213" s="8">
        <f>+B212</f>
        <v>45693</v>
      </c>
      <c r="D213" s="11" t="s">
        <v>20</v>
      </c>
      <c r="E213" s="11" t="s">
        <v>21</v>
      </c>
      <c r="F213" s="12">
        <v>0.3896</v>
      </c>
      <c r="G213" s="13">
        <f>+F213*B219</f>
        <v>19.441040000000001</v>
      </c>
      <c r="H213" s="12">
        <f>+IF(F213&gt;=20,(F213-3%)/F213,IF(F213&gt;=23,(F213-5.16%)/F213,(F213-3%)/F213))</f>
        <v>0.9229979466119097</v>
      </c>
      <c r="I213" s="13">
        <f>+G213*H213</f>
        <v>17.944040000000001</v>
      </c>
      <c r="J213" s="13">
        <f>+$G$1</f>
        <v>11803.79</v>
      </c>
      <c r="K213" s="13">
        <f>+K200</f>
        <v>300</v>
      </c>
      <c r="L213" s="13">
        <f>+J213-K213</f>
        <v>11503.79</v>
      </c>
      <c r="M213" s="13">
        <f>+I213*L213/1000</f>
        <v>206.42446791160003</v>
      </c>
      <c r="O213" s="7" t="s">
        <v>22</v>
      </c>
      <c r="P213" s="14" t="s">
        <v>23</v>
      </c>
      <c r="Q213" s="17">
        <f>600*B219/1000</f>
        <v>29.94</v>
      </c>
    </row>
    <row r="214" spans="1:17" x14ac:dyDescent="0.3">
      <c r="A214" s="7" t="str">
        <f t="shared" si="76"/>
        <v>Customer lot No.</v>
      </c>
      <c r="B214" s="11">
        <v>851</v>
      </c>
      <c r="D214" s="11" t="s">
        <v>25</v>
      </c>
      <c r="E214" s="11" t="s">
        <v>26</v>
      </c>
      <c r="F214" s="13">
        <v>1238.4000000000001</v>
      </c>
      <c r="G214" s="13">
        <f>+B219/1000*F214</f>
        <v>61.796160000000008</v>
      </c>
      <c r="H214" s="12">
        <f>+MIN(0.96,(F214-7)/F214)</f>
        <v>0.96</v>
      </c>
      <c r="I214" s="13">
        <f t="shared" ref="I214:I217" si="77">+G214*H214</f>
        <v>59.324313600000004</v>
      </c>
      <c r="J214" s="13">
        <f>+$I$1</f>
        <v>4500</v>
      </c>
      <c r="K214" s="13">
        <f t="shared" ref="K214:K217" si="78">+K201</f>
        <v>5</v>
      </c>
      <c r="L214" s="13">
        <f t="shared" ref="L214:L217" si="79">+J214-K214</f>
        <v>4495</v>
      </c>
      <c r="M214" s="13">
        <f>+I214*L214/31.1034768</f>
        <v>8573.4077687417903</v>
      </c>
      <c r="O214" s="7" t="s">
        <v>27</v>
      </c>
      <c r="P214" s="11">
        <v>100</v>
      </c>
      <c r="Q214" s="11">
        <f>+B217*P214/1000</f>
        <v>5</v>
      </c>
    </row>
    <row r="215" spans="1:17" x14ac:dyDescent="0.3">
      <c r="A215" s="7" t="str">
        <f t="shared" si="76"/>
        <v>Lot No. (JX)</v>
      </c>
      <c r="B215" s="11">
        <v>67</v>
      </c>
      <c r="D215" s="11" t="s">
        <v>29</v>
      </c>
      <c r="E215" s="11" t="s">
        <v>26</v>
      </c>
      <c r="F215" s="13">
        <v>122</v>
      </c>
      <c r="G215" s="13">
        <f>+B219/1000*F215</f>
        <v>6.0877999999999997</v>
      </c>
      <c r="H215" s="12">
        <f>+MIN(0.95,MAX(0,(F215-100)/F215))</f>
        <v>0.18032786885245902</v>
      </c>
      <c r="I215" s="13">
        <f t="shared" si="77"/>
        <v>1.0977999999999999</v>
      </c>
      <c r="J215" s="13">
        <f>+$K$1</f>
        <v>64.34</v>
      </c>
      <c r="K215" s="13">
        <f t="shared" si="78"/>
        <v>0.5</v>
      </c>
      <c r="L215" s="13">
        <f t="shared" si="79"/>
        <v>63.84</v>
      </c>
      <c r="M215" s="13">
        <f t="shared" ref="M215:M217" si="80">+I215*L215/31.1034768</f>
        <v>2.2532385189812607</v>
      </c>
      <c r="O215" s="7"/>
      <c r="P215" s="11"/>
      <c r="Q215" s="11"/>
    </row>
    <row r="216" spans="1:17" x14ac:dyDescent="0.3">
      <c r="A216" s="7"/>
      <c r="B216" s="11"/>
      <c r="D216" s="11" t="s">
        <v>30</v>
      </c>
      <c r="E216" s="11" t="s">
        <v>26</v>
      </c>
      <c r="F216" s="13"/>
      <c r="G216" s="13"/>
      <c r="H216" s="11"/>
      <c r="I216" s="13">
        <f t="shared" si="77"/>
        <v>0</v>
      </c>
      <c r="J216" s="13">
        <v>0</v>
      </c>
      <c r="K216" s="13">
        <f t="shared" si="78"/>
        <v>0</v>
      </c>
      <c r="L216" s="13">
        <f t="shared" si="79"/>
        <v>0</v>
      </c>
      <c r="M216" s="13">
        <f t="shared" si="80"/>
        <v>0</v>
      </c>
      <c r="O216" s="7"/>
      <c r="P216" s="11"/>
      <c r="Q216" s="11"/>
    </row>
    <row r="217" spans="1:17" x14ac:dyDescent="0.3">
      <c r="A217" s="7" t="str">
        <f t="shared" si="76"/>
        <v>WMT</v>
      </c>
      <c r="B217" s="13">
        <v>50</v>
      </c>
      <c r="D217" s="11" t="s">
        <v>32</v>
      </c>
      <c r="E217" s="11" t="s">
        <v>26</v>
      </c>
      <c r="F217" s="13">
        <v>79.3</v>
      </c>
      <c r="G217" s="13">
        <f>+B219/1000*F217</f>
        <v>3.9570699999999999</v>
      </c>
      <c r="H217" s="12">
        <f>+MAX(0,(F217-18)/F217)</f>
        <v>0.77301387137452715</v>
      </c>
      <c r="I217" s="13">
        <f t="shared" si="77"/>
        <v>3.0588700000000002</v>
      </c>
      <c r="J217" s="13">
        <f>+$M$1</f>
        <v>1569</v>
      </c>
      <c r="K217" s="13">
        <f t="shared" si="78"/>
        <v>14</v>
      </c>
      <c r="L217" s="13">
        <f t="shared" si="79"/>
        <v>1555</v>
      </c>
      <c r="M217" s="13">
        <f t="shared" si="80"/>
        <v>152.92640371316949</v>
      </c>
      <c r="O217" s="7"/>
      <c r="P217" s="11"/>
      <c r="Q217" s="11"/>
    </row>
    <row r="218" spans="1:17" x14ac:dyDescent="0.3">
      <c r="A218" s="7" t="str">
        <f t="shared" si="76"/>
        <v>Moisture</v>
      </c>
      <c r="B218" s="15">
        <v>2E-3</v>
      </c>
      <c r="D218" s="11"/>
      <c r="E218" s="11"/>
      <c r="F218" s="11"/>
      <c r="G218" s="13"/>
      <c r="H218" s="11"/>
      <c r="I218" s="11"/>
      <c r="J218" s="13"/>
      <c r="K218" s="13"/>
      <c r="L218" s="13"/>
      <c r="M218" s="13"/>
      <c r="O218" s="7"/>
      <c r="P218" s="11"/>
      <c r="Q218" s="11"/>
    </row>
    <row r="219" spans="1:17" x14ac:dyDescent="0.3">
      <c r="A219" s="7" t="str">
        <f t="shared" si="76"/>
        <v>DMT</v>
      </c>
      <c r="B219" s="13">
        <f>+B217*(1-B218)</f>
        <v>49.9</v>
      </c>
      <c r="D219" s="11"/>
      <c r="E219" s="11"/>
      <c r="F219" s="11"/>
      <c r="G219" s="13"/>
      <c r="H219" s="11"/>
      <c r="I219" s="11"/>
      <c r="J219" s="13"/>
      <c r="K219" s="13"/>
      <c r="L219" s="13"/>
      <c r="M219" s="13"/>
      <c r="O219" s="7" t="s">
        <v>35</v>
      </c>
      <c r="P219" s="13">
        <v>0</v>
      </c>
      <c r="Q219" s="13">
        <v>0</v>
      </c>
    </row>
    <row r="220" spans="1:17" x14ac:dyDescent="0.3">
      <c r="A220" s="7" t="str">
        <f>+A207</f>
        <v>Resultado USD / Kg</v>
      </c>
      <c r="B220" s="13">
        <f>+U222/B217</f>
        <v>0</v>
      </c>
      <c r="D220" s="11"/>
      <c r="E220" s="11"/>
      <c r="F220" s="11"/>
      <c r="G220" s="13"/>
      <c r="H220" s="11"/>
      <c r="I220" s="11"/>
      <c r="J220" s="13"/>
      <c r="K220" s="13"/>
      <c r="L220" s="13"/>
      <c r="M220" s="13"/>
      <c r="O220" s="7" t="s">
        <v>37</v>
      </c>
      <c r="P220" s="13">
        <v>0</v>
      </c>
      <c r="Q220" s="13">
        <v>0</v>
      </c>
    </row>
    <row r="221" spans="1:17" x14ac:dyDescent="0.3">
      <c r="A221" s="18" t="s">
        <v>54</v>
      </c>
      <c r="B221" s="13"/>
      <c r="D221" s="11"/>
      <c r="E221" s="11"/>
      <c r="F221" s="11"/>
      <c r="G221" s="13"/>
      <c r="H221" s="11"/>
      <c r="I221" s="11"/>
      <c r="J221" s="13"/>
      <c r="K221" s="13"/>
      <c r="L221" s="13"/>
      <c r="M221" s="13"/>
      <c r="O221" s="7"/>
      <c r="P221" s="11"/>
      <c r="Q221" s="11"/>
    </row>
    <row r="222" spans="1:17" x14ac:dyDescent="0.3">
      <c r="D222" s="11"/>
      <c r="E222" s="11"/>
      <c r="F222" s="11"/>
      <c r="G222" s="13"/>
      <c r="H222" s="11"/>
      <c r="I222" s="11"/>
      <c r="J222" s="13"/>
      <c r="K222" s="13"/>
      <c r="L222" s="13"/>
      <c r="M222" s="13"/>
      <c r="O222" s="7"/>
      <c r="P222" s="11"/>
      <c r="Q222" s="11"/>
    </row>
    <row r="224" spans="1:17" x14ac:dyDescent="0.3">
      <c r="A224" s="6" t="s">
        <v>5</v>
      </c>
      <c r="B224" s="6"/>
      <c r="D224" s="6" t="s">
        <v>6</v>
      </c>
      <c r="E224" s="6"/>
      <c r="F224" s="6"/>
      <c r="G224" s="6"/>
      <c r="H224" s="6"/>
      <c r="I224" s="6"/>
      <c r="J224" s="6"/>
      <c r="K224" s="6"/>
      <c r="L224" s="6"/>
      <c r="M224" s="6"/>
      <c r="O224" s="6" t="s">
        <v>7</v>
      </c>
      <c r="P224" s="6"/>
      <c r="Q224" s="6"/>
    </row>
    <row r="225" spans="1:17" x14ac:dyDescent="0.3">
      <c r="A225" s="7" t="s">
        <v>8</v>
      </c>
      <c r="B225" s="8">
        <v>45847</v>
      </c>
      <c r="D225" s="6" t="s">
        <v>9</v>
      </c>
      <c r="E225" s="6"/>
      <c r="F225" s="6"/>
      <c r="G225" s="9" t="s">
        <v>10</v>
      </c>
      <c r="H225" s="9" t="s">
        <v>11</v>
      </c>
      <c r="I225" s="9" t="s">
        <v>12</v>
      </c>
      <c r="J225" s="9" t="s">
        <v>13</v>
      </c>
      <c r="K225" s="9" t="s">
        <v>14</v>
      </c>
      <c r="L225" s="9" t="s">
        <v>15</v>
      </c>
      <c r="M225" s="9" t="s">
        <v>16</v>
      </c>
      <c r="N225" s="10"/>
      <c r="O225" s="9" t="s">
        <v>17</v>
      </c>
      <c r="P225" s="9" t="s">
        <v>18</v>
      </c>
      <c r="Q225" s="9" t="s">
        <v>16</v>
      </c>
    </row>
    <row r="226" spans="1:17" x14ac:dyDescent="0.3">
      <c r="A226" s="7" t="s">
        <v>19</v>
      </c>
      <c r="B226" s="8">
        <f>+B225</f>
        <v>45847</v>
      </c>
      <c r="D226" s="11" t="s">
        <v>20</v>
      </c>
      <c r="E226" s="11" t="s">
        <v>21</v>
      </c>
      <c r="F226" s="12">
        <v>0.26219999999999999</v>
      </c>
      <c r="G226" s="13">
        <f>+F226*B232</f>
        <v>622.84561199999996</v>
      </c>
      <c r="H226" s="12">
        <f>+IF(F226&gt;=20,(F226-3%)/F226,IF(F226&gt;=23,(F226-5.16%)/F226,(F226-3%)/F226))</f>
        <v>0.88558352402745999</v>
      </c>
      <c r="I226" s="13">
        <f>+G226*H226</f>
        <v>551.58181200000001</v>
      </c>
      <c r="J226" s="13">
        <f>+$G$1</f>
        <v>11803.79</v>
      </c>
      <c r="K226" s="13">
        <v>300</v>
      </c>
      <c r="L226" s="13">
        <f>+J226-K226</f>
        <v>11503.79</v>
      </c>
      <c r="M226" s="13">
        <f>+I226*L226/1000</f>
        <v>6345.2813330674808</v>
      </c>
      <c r="O226" s="7" t="s">
        <v>22</v>
      </c>
      <c r="P226" s="14" t="s">
        <v>23</v>
      </c>
      <c r="Q226" s="13">
        <f>600*B232/1000</f>
        <v>1425.2760000000001</v>
      </c>
    </row>
    <row r="227" spans="1:17" x14ac:dyDescent="0.3">
      <c r="A227" s="7" t="s">
        <v>24</v>
      </c>
      <c r="B227" s="14" t="s">
        <v>55</v>
      </c>
      <c r="D227" s="11" t="s">
        <v>25</v>
      </c>
      <c r="E227" s="11" t="s">
        <v>26</v>
      </c>
      <c r="F227" s="13">
        <v>297.5</v>
      </c>
      <c r="G227" s="13">
        <f>+B232/1000*F227</f>
        <v>706.69934999999998</v>
      </c>
      <c r="H227" s="12">
        <f>+MIN(0.96,(F227-7)/F227)</f>
        <v>0.96</v>
      </c>
      <c r="I227" s="13">
        <f t="shared" ref="I227:I230" si="81">+G227*H227</f>
        <v>678.431376</v>
      </c>
      <c r="J227" s="13">
        <f>+$I$1</f>
        <v>4500</v>
      </c>
      <c r="K227" s="13">
        <v>5</v>
      </c>
      <c r="L227" s="13">
        <f t="shared" ref="L227:L230" si="82">+J227-K227</f>
        <v>4495</v>
      </c>
      <c r="M227" s="13">
        <f>+I227*L227/31.1034768</f>
        <v>98045.278176747117</v>
      </c>
      <c r="O227" s="7" t="s">
        <v>27</v>
      </c>
      <c r="P227" s="11">
        <v>100</v>
      </c>
      <c r="Q227" s="13">
        <f>+B230*P227/1000</f>
        <v>238.5</v>
      </c>
    </row>
    <row r="228" spans="1:17" x14ac:dyDescent="0.3">
      <c r="A228" s="7" t="s">
        <v>28</v>
      </c>
      <c r="B228" s="11">
        <v>659</v>
      </c>
      <c r="D228" s="11" t="s">
        <v>29</v>
      </c>
      <c r="E228" s="11" t="s">
        <v>26</v>
      </c>
      <c r="F228" s="13">
        <v>1322</v>
      </c>
      <c r="G228" s="13">
        <f>+B232/1000*F228</f>
        <v>3140.3581199999999</v>
      </c>
      <c r="H228" s="12">
        <f>+MIN(0.95,MAX(0,(F228-100)/F228))</f>
        <v>0.92435703479576403</v>
      </c>
      <c r="I228" s="13">
        <f t="shared" si="81"/>
        <v>2902.81212</v>
      </c>
      <c r="J228" s="13">
        <f>+$K$1</f>
        <v>64.34</v>
      </c>
      <c r="K228" s="13">
        <v>0.5</v>
      </c>
      <c r="L228" s="13">
        <f t="shared" si="82"/>
        <v>63.84</v>
      </c>
      <c r="M228" s="13">
        <f t="shared" ref="M228:M230" si="83">+I228*L228/31.1034768</f>
        <v>5958.0325033245163</v>
      </c>
      <c r="O228" s="7"/>
      <c r="P228" s="11"/>
      <c r="Q228" s="13"/>
    </row>
    <row r="229" spans="1:17" x14ac:dyDescent="0.3">
      <c r="A229" s="7"/>
      <c r="B229" s="11"/>
      <c r="D229" s="11" t="s">
        <v>30</v>
      </c>
      <c r="E229" s="11" t="s">
        <v>26</v>
      </c>
      <c r="F229" s="13"/>
      <c r="G229" s="13"/>
      <c r="H229" s="11"/>
      <c r="I229" s="13">
        <f t="shared" si="81"/>
        <v>0</v>
      </c>
      <c r="J229" s="13">
        <v>0</v>
      </c>
      <c r="K229" s="13"/>
      <c r="L229" s="13">
        <f t="shared" si="82"/>
        <v>0</v>
      </c>
      <c r="M229" s="13">
        <f t="shared" si="83"/>
        <v>0</v>
      </c>
      <c r="O229" s="7"/>
      <c r="P229" s="11"/>
      <c r="Q229" s="13"/>
    </row>
    <row r="230" spans="1:17" x14ac:dyDescent="0.3">
      <c r="A230" s="7" t="s">
        <v>31</v>
      </c>
      <c r="B230" s="13">
        <v>2385</v>
      </c>
      <c r="D230" s="11" t="s">
        <v>32</v>
      </c>
      <c r="E230" s="11" t="s">
        <v>26</v>
      </c>
      <c r="F230" s="13">
        <v>74.400000000000006</v>
      </c>
      <c r="G230" s="13">
        <f>+B232/1000*F230</f>
        <v>176.73422400000001</v>
      </c>
      <c r="H230" s="12">
        <f>+MAX(0,(F230-18)/F230)</f>
        <v>0.75806451612903225</v>
      </c>
      <c r="I230" s="13">
        <f t="shared" si="81"/>
        <v>133.975944</v>
      </c>
      <c r="J230" s="13">
        <f>+$M$1</f>
        <v>1569</v>
      </c>
      <c r="K230" s="13">
        <v>14</v>
      </c>
      <c r="L230" s="13">
        <f t="shared" si="82"/>
        <v>1555</v>
      </c>
      <c r="M230" s="13">
        <f t="shared" si="83"/>
        <v>6698.0483969560601</v>
      </c>
      <c r="O230" s="7"/>
      <c r="P230" s="11"/>
      <c r="Q230" s="13"/>
    </row>
    <row r="231" spans="1:17" x14ac:dyDescent="0.3">
      <c r="A231" s="7" t="s">
        <v>33</v>
      </c>
      <c r="B231" s="15">
        <v>4.0000000000000001E-3</v>
      </c>
      <c r="D231" s="11"/>
      <c r="E231" s="11"/>
      <c r="F231" s="13"/>
      <c r="G231" s="13"/>
      <c r="H231" s="11"/>
      <c r="I231" s="11"/>
      <c r="J231" s="13"/>
      <c r="K231" s="13"/>
      <c r="L231" s="13"/>
      <c r="M231" s="13"/>
      <c r="O231" s="7"/>
      <c r="P231" s="11"/>
      <c r="Q231" s="13"/>
    </row>
    <row r="232" spans="1:17" x14ac:dyDescent="0.3">
      <c r="A232" s="7" t="s">
        <v>34</v>
      </c>
      <c r="B232" s="13">
        <f>+B230*(1-B231)</f>
        <v>2375.46</v>
      </c>
      <c r="D232" s="11"/>
      <c r="E232" s="11"/>
      <c r="F232" s="13"/>
      <c r="G232" s="13"/>
      <c r="H232" s="11"/>
      <c r="I232" s="11"/>
      <c r="J232" s="13"/>
      <c r="K232" s="13"/>
      <c r="L232" s="13"/>
      <c r="M232" s="13"/>
      <c r="O232" s="7" t="s">
        <v>35</v>
      </c>
      <c r="P232" s="13">
        <v>0</v>
      </c>
      <c r="Q232" s="13">
        <v>0</v>
      </c>
    </row>
    <row r="233" spans="1:17" x14ac:dyDescent="0.3">
      <c r="A233" s="7" t="s">
        <v>36</v>
      </c>
      <c r="B233" s="13">
        <f>+U235/B230</f>
        <v>0</v>
      </c>
      <c r="D233" s="11"/>
      <c r="E233" s="11"/>
      <c r="F233" s="11"/>
      <c r="G233" s="13"/>
      <c r="H233" s="11"/>
      <c r="I233" s="11"/>
      <c r="J233" s="13"/>
      <c r="K233" s="13"/>
      <c r="L233" s="13"/>
      <c r="M233" s="13"/>
      <c r="O233" s="7" t="s">
        <v>37</v>
      </c>
      <c r="P233" s="13">
        <v>0</v>
      </c>
      <c r="Q233" s="13">
        <v>0</v>
      </c>
    </row>
    <row r="234" spans="1:17" x14ac:dyDescent="0.3">
      <c r="A234" s="16" t="s">
        <v>56</v>
      </c>
      <c r="B234" s="13"/>
      <c r="D234" s="11"/>
      <c r="E234" s="11"/>
      <c r="F234" s="11"/>
      <c r="G234" s="13"/>
      <c r="H234" s="11"/>
      <c r="I234" s="11"/>
      <c r="J234" s="13"/>
      <c r="K234" s="13"/>
      <c r="L234" s="13"/>
      <c r="M234" s="13"/>
      <c r="O234" s="7"/>
      <c r="P234" s="11"/>
      <c r="Q234" s="13"/>
    </row>
    <row r="235" spans="1:17" x14ac:dyDescent="0.3">
      <c r="D235" s="11"/>
      <c r="E235" s="11"/>
      <c r="F235" s="11"/>
      <c r="G235" s="13"/>
      <c r="H235" s="11"/>
      <c r="I235" s="11"/>
      <c r="J235" s="13"/>
      <c r="K235" s="13"/>
      <c r="L235" s="13"/>
      <c r="M235" s="13"/>
      <c r="O235" s="7"/>
      <c r="P235" s="11"/>
      <c r="Q235" s="13"/>
    </row>
    <row r="237" spans="1:17" x14ac:dyDescent="0.3">
      <c r="A237" s="6" t="s">
        <v>5</v>
      </c>
      <c r="B237" s="6"/>
      <c r="D237" s="6" t="s">
        <v>6</v>
      </c>
      <c r="E237" s="6"/>
      <c r="F237" s="6"/>
      <c r="G237" s="6"/>
      <c r="H237" s="6"/>
      <c r="I237" s="6"/>
      <c r="J237" s="6"/>
      <c r="K237" s="6"/>
      <c r="L237" s="6"/>
      <c r="M237" s="6"/>
      <c r="O237" s="6" t="s">
        <v>7</v>
      </c>
      <c r="P237" s="6"/>
      <c r="Q237" s="6"/>
    </row>
    <row r="238" spans="1:17" x14ac:dyDescent="0.3">
      <c r="A238" s="7" t="str">
        <f>+A225</f>
        <v>Arrival date</v>
      </c>
      <c r="B238" s="8">
        <v>45847</v>
      </c>
      <c r="D238" s="6" t="s">
        <v>9</v>
      </c>
      <c r="E238" s="6"/>
      <c r="F238" s="6"/>
      <c r="G238" s="9" t="s">
        <v>10</v>
      </c>
      <c r="H238" s="9" t="s">
        <v>11</v>
      </c>
      <c r="I238" s="9" t="s">
        <v>12</v>
      </c>
      <c r="J238" s="9" t="s">
        <v>13</v>
      </c>
      <c r="K238" s="9" t="s">
        <v>14</v>
      </c>
      <c r="L238" s="9" t="s">
        <v>15</v>
      </c>
      <c r="M238" s="9" t="s">
        <v>16</v>
      </c>
      <c r="N238" s="10"/>
      <c r="O238" s="9" t="s">
        <v>17</v>
      </c>
      <c r="P238" s="9" t="s">
        <v>18</v>
      </c>
      <c r="Q238" s="9" t="s">
        <v>16</v>
      </c>
    </row>
    <row r="239" spans="1:17" x14ac:dyDescent="0.3">
      <c r="A239" s="7" t="str">
        <f t="shared" ref="A239:A245" si="84">+A226</f>
        <v>Receptive date</v>
      </c>
      <c r="B239" s="8">
        <f>+B238</f>
        <v>45847</v>
      </c>
      <c r="D239" s="11" t="s">
        <v>20</v>
      </c>
      <c r="E239" s="11" t="s">
        <v>21</v>
      </c>
      <c r="F239" s="12">
        <v>0.28960000000000002</v>
      </c>
      <c r="G239" s="13">
        <f>+F239*B245</f>
        <v>293.34510720000003</v>
      </c>
      <c r="H239" s="12">
        <f>+IF(F239&gt;=20,(F239-3%)/F239,IF(F239&gt;=23,(F239-5.16%)/F239,(F239-3%)/F239))</f>
        <v>0.89640883977900565</v>
      </c>
      <c r="I239" s="13">
        <f>+G239*H239</f>
        <v>262.95714720000007</v>
      </c>
      <c r="J239" s="13">
        <f>+$G$1</f>
        <v>11803.79</v>
      </c>
      <c r="K239" s="13">
        <f>+K226</f>
        <v>300</v>
      </c>
      <c r="L239" s="13">
        <f>+J239-K239</f>
        <v>11503.79</v>
      </c>
      <c r="M239" s="13">
        <f>+I239*L239/1000</f>
        <v>3025.003800387889</v>
      </c>
      <c r="O239" s="7" t="s">
        <v>22</v>
      </c>
      <c r="P239" s="14" t="s">
        <v>23</v>
      </c>
      <c r="Q239" s="13">
        <f>600*B245/1000</f>
        <v>607.75919999999996</v>
      </c>
    </row>
    <row r="240" spans="1:17" x14ac:dyDescent="0.3">
      <c r="A240" s="7" t="str">
        <f t="shared" si="84"/>
        <v>Customer lot No.</v>
      </c>
      <c r="B240" s="14" t="s">
        <v>57</v>
      </c>
      <c r="D240" s="11" t="s">
        <v>25</v>
      </c>
      <c r="E240" s="11" t="s">
        <v>26</v>
      </c>
      <c r="F240" s="13">
        <v>264.60000000000002</v>
      </c>
      <c r="G240" s="13">
        <f>+B245/1000*F240</f>
        <v>268.02180720000001</v>
      </c>
      <c r="H240" s="12">
        <f>+MIN(0.96,(F240-7)/F240)</f>
        <v>0.96</v>
      </c>
      <c r="I240" s="13">
        <f t="shared" ref="I240:I243" si="85">+G240*H240</f>
        <v>257.300934912</v>
      </c>
      <c r="J240" s="13">
        <f>+$I$1</f>
        <v>4500</v>
      </c>
      <c r="K240" s="13">
        <f t="shared" ref="K240:K243" si="86">+K227</f>
        <v>5</v>
      </c>
      <c r="L240" s="13">
        <f t="shared" ref="L240:L243" si="87">+J240-K240</f>
        <v>4495</v>
      </c>
      <c r="M240" s="13">
        <f>+I240*L240/31.1034768</f>
        <v>37184.515090269269</v>
      </c>
      <c r="O240" s="7" t="s">
        <v>27</v>
      </c>
      <c r="P240" s="11">
        <v>100</v>
      </c>
      <c r="Q240" s="13">
        <f>+B243*P240/1000</f>
        <v>101.7</v>
      </c>
    </row>
    <row r="241" spans="1:17" x14ac:dyDescent="0.3">
      <c r="A241" s="7" t="str">
        <f t="shared" si="84"/>
        <v>Lot No. (JX)</v>
      </c>
      <c r="B241" s="11">
        <v>660</v>
      </c>
      <c r="D241" s="11" t="s">
        <v>29</v>
      </c>
      <c r="E241" s="11" t="s">
        <v>26</v>
      </c>
      <c r="F241" s="13">
        <v>2161</v>
      </c>
      <c r="G241" s="13">
        <f>+B245/1000*F241</f>
        <v>2188.9460519999998</v>
      </c>
      <c r="H241" s="12">
        <f>+MIN(0.95,MAX(0,(F241-100)/F241))</f>
        <v>0.95</v>
      </c>
      <c r="I241" s="13">
        <f t="shared" si="85"/>
        <v>2079.4987493999997</v>
      </c>
      <c r="J241" s="13">
        <f>+$K$1</f>
        <v>64.34</v>
      </c>
      <c r="K241" s="13">
        <f t="shared" si="86"/>
        <v>0.5</v>
      </c>
      <c r="L241" s="13">
        <f t="shared" si="87"/>
        <v>63.84</v>
      </c>
      <c r="M241" s="13">
        <f t="shared" ref="M241:M243" si="88">+I241*L241/31.1034768</f>
        <v>4268.1787960661677</v>
      </c>
      <c r="O241" s="7"/>
      <c r="P241" s="11"/>
      <c r="Q241" s="13"/>
    </row>
    <row r="242" spans="1:17" x14ac:dyDescent="0.3">
      <c r="A242" s="7"/>
      <c r="B242" s="11"/>
      <c r="D242" s="11" t="s">
        <v>30</v>
      </c>
      <c r="E242" s="11" t="s">
        <v>26</v>
      </c>
      <c r="F242" s="13"/>
      <c r="G242" s="13"/>
      <c r="H242" s="11"/>
      <c r="I242" s="13">
        <f t="shared" si="85"/>
        <v>0</v>
      </c>
      <c r="J242" s="13">
        <v>0</v>
      </c>
      <c r="K242" s="13">
        <f t="shared" si="86"/>
        <v>0</v>
      </c>
      <c r="L242" s="13">
        <f t="shared" si="87"/>
        <v>0</v>
      </c>
      <c r="M242" s="13">
        <f t="shared" si="88"/>
        <v>0</v>
      </c>
      <c r="O242" s="7"/>
      <c r="P242" s="11"/>
      <c r="Q242" s="13"/>
    </row>
    <row r="243" spans="1:17" x14ac:dyDescent="0.3">
      <c r="A243" s="7" t="str">
        <f t="shared" si="84"/>
        <v>WMT</v>
      </c>
      <c r="B243" s="13">
        <v>1017</v>
      </c>
      <c r="D243" s="11" t="s">
        <v>32</v>
      </c>
      <c r="E243" s="11" t="s">
        <v>26</v>
      </c>
      <c r="F243" s="13">
        <v>51.9</v>
      </c>
      <c r="G243" s="13">
        <f>+B245/1000*F243</f>
        <v>52.571170799999997</v>
      </c>
      <c r="H243" s="12">
        <f>+MAX(0,(F243-18)/F243)</f>
        <v>0.65317919075144504</v>
      </c>
      <c r="I243" s="13">
        <f t="shared" si="85"/>
        <v>34.338394799999996</v>
      </c>
      <c r="J243" s="13">
        <f>+$M$1</f>
        <v>1569</v>
      </c>
      <c r="K243" s="13">
        <f t="shared" si="86"/>
        <v>14</v>
      </c>
      <c r="L243" s="13">
        <f t="shared" si="87"/>
        <v>1555</v>
      </c>
      <c r="M243" s="13">
        <f t="shared" si="88"/>
        <v>1716.7278197657952</v>
      </c>
      <c r="O243" s="7"/>
      <c r="P243" s="11"/>
      <c r="Q243" s="13"/>
    </row>
    <row r="244" spans="1:17" x14ac:dyDescent="0.3">
      <c r="A244" s="7" t="str">
        <f t="shared" si="84"/>
        <v>Moisture</v>
      </c>
      <c r="B244" s="15">
        <v>4.0000000000000001E-3</v>
      </c>
      <c r="D244" s="11"/>
      <c r="E244" s="11"/>
      <c r="F244" s="13"/>
      <c r="G244" s="13"/>
      <c r="H244" s="11"/>
      <c r="I244" s="11"/>
      <c r="J244" s="13"/>
      <c r="K244" s="13"/>
      <c r="L244" s="13"/>
      <c r="M244" s="13"/>
      <c r="O244" s="7"/>
      <c r="P244" s="11"/>
      <c r="Q244" s="13"/>
    </row>
    <row r="245" spans="1:17" x14ac:dyDescent="0.3">
      <c r="A245" s="7" t="str">
        <f t="shared" si="84"/>
        <v>DMT</v>
      </c>
      <c r="B245" s="13">
        <f>+B243*(1-B244)</f>
        <v>1012.932</v>
      </c>
      <c r="D245" s="11"/>
      <c r="E245" s="11"/>
      <c r="F245" s="13"/>
      <c r="G245" s="13"/>
      <c r="H245" s="11"/>
      <c r="I245" s="11"/>
      <c r="J245" s="13"/>
      <c r="K245" s="13"/>
      <c r="L245" s="13"/>
      <c r="M245" s="13"/>
      <c r="O245" s="7" t="s">
        <v>35</v>
      </c>
      <c r="P245" s="13">
        <v>0</v>
      </c>
      <c r="Q245" s="13">
        <v>0</v>
      </c>
    </row>
    <row r="246" spans="1:17" x14ac:dyDescent="0.3">
      <c r="A246" s="7" t="str">
        <f>+A233</f>
        <v>Resultado USD / Kg</v>
      </c>
      <c r="B246" s="13">
        <f>+U248/B243</f>
        <v>0</v>
      </c>
      <c r="D246" s="11"/>
      <c r="E246" s="11"/>
      <c r="F246" s="11"/>
      <c r="G246" s="13"/>
      <c r="H246" s="11"/>
      <c r="I246" s="11"/>
      <c r="J246" s="13"/>
      <c r="K246" s="13"/>
      <c r="L246" s="13"/>
      <c r="M246" s="13"/>
      <c r="O246" s="7" t="s">
        <v>37</v>
      </c>
      <c r="P246" s="13">
        <v>0</v>
      </c>
      <c r="Q246" s="13">
        <v>0</v>
      </c>
    </row>
    <row r="247" spans="1:17" x14ac:dyDescent="0.3">
      <c r="A247" s="18" t="s">
        <v>50</v>
      </c>
      <c r="B247" s="13"/>
      <c r="D247" s="11"/>
      <c r="E247" s="11"/>
      <c r="F247" s="11"/>
      <c r="G247" s="13"/>
      <c r="H247" s="11"/>
      <c r="I247" s="11"/>
      <c r="J247" s="13"/>
      <c r="K247" s="13"/>
      <c r="L247" s="13"/>
      <c r="M247" s="13"/>
      <c r="O247" s="7"/>
      <c r="P247" s="11"/>
      <c r="Q247" s="13"/>
    </row>
    <row r="248" spans="1:17" x14ac:dyDescent="0.3">
      <c r="D248" s="11"/>
      <c r="E248" s="11"/>
      <c r="F248" s="11"/>
      <c r="G248" s="13"/>
      <c r="H248" s="11"/>
      <c r="I248" s="11"/>
      <c r="J248" s="13"/>
      <c r="K248" s="13"/>
      <c r="L248" s="13"/>
      <c r="M248" s="13"/>
      <c r="O248" s="7"/>
      <c r="P248" s="11"/>
      <c r="Q248" s="13"/>
    </row>
    <row r="250" spans="1:17" x14ac:dyDescent="0.3">
      <c r="A250" s="6" t="s">
        <v>5</v>
      </c>
      <c r="B250" s="6"/>
      <c r="D250" s="6" t="s">
        <v>6</v>
      </c>
      <c r="E250" s="6"/>
      <c r="F250" s="6"/>
      <c r="G250" s="6"/>
      <c r="H250" s="6"/>
      <c r="I250" s="6"/>
      <c r="J250" s="6"/>
      <c r="K250" s="6"/>
      <c r="L250" s="6"/>
      <c r="M250" s="6"/>
      <c r="O250" s="6" t="s">
        <v>7</v>
      </c>
      <c r="P250" s="6"/>
      <c r="Q250" s="6"/>
    </row>
    <row r="251" spans="1:17" x14ac:dyDescent="0.3">
      <c r="A251" s="7" t="str">
        <f>+A238</f>
        <v>Arrival date</v>
      </c>
      <c r="B251" s="8">
        <v>45847</v>
      </c>
      <c r="D251" s="6" t="s">
        <v>9</v>
      </c>
      <c r="E251" s="6"/>
      <c r="F251" s="6"/>
      <c r="G251" s="9" t="s">
        <v>10</v>
      </c>
      <c r="H251" s="9" t="s">
        <v>11</v>
      </c>
      <c r="I251" s="9" t="s">
        <v>12</v>
      </c>
      <c r="J251" s="9" t="s">
        <v>13</v>
      </c>
      <c r="K251" s="9" t="s">
        <v>14</v>
      </c>
      <c r="L251" s="9" t="s">
        <v>15</v>
      </c>
      <c r="M251" s="9" t="s">
        <v>16</v>
      </c>
      <c r="N251" s="10"/>
      <c r="O251" s="9" t="s">
        <v>17</v>
      </c>
      <c r="P251" s="9" t="s">
        <v>18</v>
      </c>
      <c r="Q251" s="9" t="s">
        <v>16</v>
      </c>
    </row>
    <row r="252" spans="1:17" x14ac:dyDescent="0.3">
      <c r="A252" s="7" t="str">
        <f t="shared" ref="A252:A258" si="89">+A239</f>
        <v>Receptive date</v>
      </c>
      <c r="B252" s="8">
        <f>+B251</f>
        <v>45847</v>
      </c>
      <c r="D252" s="11" t="s">
        <v>20</v>
      </c>
      <c r="E252" s="11" t="s">
        <v>21</v>
      </c>
      <c r="F252" s="12">
        <v>0.22359999999999999</v>
      </c>
      <c r="G252" s="13">
        <f>+F252*B258</f>
        <v>321.08043240000001</v>
      </c>
      <c r="H252" s="12">
        <f>+IF(F252&gt;=20,(F252-3%)/F252,IF(F252&gt;=23,(F252-5.16%)/F252,(F252-3%)/F252))</f>
        <v>0.86583184257602863</v>
      </c>
      <c r="I252" s="13">
        <f>+G252*H252</f>
        <v>278.00166239999999</v>
      </c>
      <c r="J252" s="13">
        <f>+$G$1</f>
        <v>11803.79</v>
      </c>
      <c r="K252" s="13">
        <f>+K239</f>
        <v>300</v>
      </c>
      <c r="L252" s="13">
        <f>+J252-K252</f>
        <v>11503.79</v>
      </c>
      <c r="M252" s="13">
        <f>+I252*L252/1000</f>
        <v>3198.0727439004959</v>
      </c>
      <c r="O252" s="7" t="s">
        <v>22</v>
      </c>
      <c r="P252" s="14" t="s">
        <v>23</v>
      </c>
      <c r="Q252" s="17">
        <f>600*B258/1000</f>
        <v>861.57540000000006</v>
      </c>
    </row>
    <row r="253" spans="1:17" x14ac:dyDescent="0.3">
      <c r="A253" s="7" t="str">
        <f t="shared" si="89"/>
        <v>Customer lot No.</v>
      </c>
      <c r="B253" s="14" t="s">
        <v>58</v>
      </c>
      <c r="D253" s="11" t="s">
        <v>25</v>
      </c>
      <c r="E253" s="11" t="s">
        <v>26</v>
      </c>
      <c r="F253" s="13">
        <v>182.2</v>
      </c>
      <c r="G253" s="13">
        <f>+B258/1000*F253</f>
        <v>261.63172979999996</v>
      </c>
      <c r="H253" s="12">
        <f>+MIN(0.96,(F253-7)/F253)</f>
        <v>0.96</v>
      </c>
      <c r="I253" s="13">
        <f t="shared" ref="I253:I256" si="90">+G253*H253</f>
        <v>251.16646060799997</v>
      </c>
      <c r="J253" s="13">
        <f>+$I$1</f>
        <v>4500</v>
      </c>
      <c r="K253" s="13">
        <f t="shared" ref="K253:K256" si="91">+K240</f>
        <v>5</v>
      </c>
      <c r="L253" s="13">
        <f t="shared" ref="L253:L256" si="92">+J253-K253</f>
        <v>4495</v>
      </c>
      <c r="M253" s="13">
        <f>+I253*L253/31.1034768</f>
        <v>36297.975550854164</v>
      </c>
      <c r="O253" s="7" t="s">
        <v>27</v>
      </c>
      <c r="P253" s="11">
        <v>100</v>
      </c>
      <c r="Q253" s="11">
        <f>+B256*P253/1000</f>
        <v>144.9</v>
      </c>
    </row>
    <row r="254" spans="1:17" x14ac:dyDescent="0.3">
      <c r="A254" s="7" t="str">
        <f t="shared" si="89"/>
        <v>Lot No. (JX)</v>
      </c>
      <c r="B254" s="11">
        <v>661</v>
      </c>
      <c r="D254" s="11" t="s">
        <v>29</v>
      </c>
      <c r="E254" s="11" t="s">
        <v>26</v>
      </c>
      <c r="F254" s="13">
        <v>498</v>
      </c>
      <c r="G254" s="13">
        <f>+B258/1000*F254</f>
        <v>715.10758199999998</v>
      </c>
      <c r="H254" s="12">
        <f>+MIN(0.95,MAX(0,(F254-100)/F254))</f>
        <v>0.79919678714859432</v>
      </c>
      <c r="I254" s="13">
        <f t="shared" si="90"/>
        <v>571.51168199999995</v>
      </c>
      <c r="J254" s="13">
        <f>+$K$1</f>
        <v>64.34</v>
      </c>
      <c r="K254" s="13">
        <f t="shared" si="91"/>
        <v>0.5</v>
      </c>
      <c r="L254" s="13">
        <f t="shared" si="92"/>
        <v>63.84</v>
      </c>
      <c r="M254" s="13">
        <f t="shared" ref="M254:M256" si="93">+I254*L254/31.1034768</f>
        <v>1173.0298195756689</v>
      </c>
      <c r="O254" s="7"/>
      <c r="P254" s="11"/>
      <c r="Q254" s="11"/>
    </row>
    <row r="255" spans="1:17" x14ac:dyDescent="0.3">
      <c r="A255" s="7"/>
      <c r="B255" s="11"/>
      <c r="D255" s="11" t="s">
        <v>30</v>
      </c>
      <c r="E255" s="11" t="s">
        <v>26</v>
      </c>
      <c r="F255" s="13"/>
      <c r="G255" s="13"/>
      <c r="H255" s="11"/>
      <c r="I255" s="13">
        <f t="shared" si="90"/>
        <v>0</v>
      </c>
      <c r="J255" s="13">
        <v>0</v>
      </c>
      <c r="K255" s="13">
        <f t="shared" si="91"/>
        <v>0</v>
      </c>
      <c r="L255" s="13">
        <f t="shared" si="92"/>
        <v>0</v>
      </c>
      <c r="M255" s="13">
        <f t="shared" si="93"/>
        <v>0</v>
      </c>
      <c r="O255" s="7"/>
      <c r="P255" s="11"/>
      <c r="Q255" s="11"/>
    </row>
    <row r="256" spans="1:17" x14ac:dyDescent="0.3">
      <c r="A256" s="7" t="str">
        <f t="shared" si="89"/>
        <v>WMT</v>
      </c>
      <c r="B256" s="13">
        <v>1449</v>
      </c>
      <c r="D256" s="11" t="s">
        <v>32</v>
      </c>
      <c r="E256" s="11" t="s">
        <v>26</v>
      </c>
      <c r="F256" s="13">
        <v>3.2</v>
      </c>
      <c r="G256" s="13">
        <f>+B258/1000*F256</f>
        <v>4.5950688</v>
      </c>
      <c r="H256" s="12">
        <f>+MAX(0,(F256-18)/F256)</f>
        <v>0</v>
      </c>
      <c r="I256" s="13">
        <f t="shared" si="90"/>
        <v>0</v>
      </c>
      <c r="J256" s="13">
        <f>+$M$1</f>
        <v>1569</v>
      </c>
      <c r="K256" s="13">
        <f t="shared" si="91"/>
        <v>14</v>
      </c>
      <c r="L256" s="13">
        <f t="shared" si="92"/>
        <v>1555</v>
      </c>
      <c r="M256" s="13">
        <f t="shared" si="93"/>
        <v>0</v>
      </c>
      <c r="O256" s="7"/>
      <c r="P256" s="11"/>
      <c r="Q256" s="11"/>
    </row>
    <row r="257" spans="1:17" x14ac:dyDescent="0.3">
      <c r="A257" s="7" t="str">
        <f t="shared" si="89"/>
        <v>Moisture</v>
      </c>
      <c r="B257" s="15">
        <v>8.9999999999999993E-3</v>
      </c>
      <c r="D257" s="11"/>
      <c r="E257" s="11"/>
      <c r="F257" s="13"/>
      <c r="G257" s="13"/>
      <c r="H257" s="11"/>
      <c r="I257" s="11"/>
      <c r="J257" s="13"/>
      <c r="K257" s="13"/>
      <c r="L257" s="13"/>
      <c r="M257" s="13"/>
      <c r="O257" s="7"/>
      <c r="P257" s="11"/>
      <c r="Q257" s="11"/>
    </row>
    <row r="258" spans="1:17" x14ac:dyDescent="0.3">
      <c r="A258" s="7" t="str">
        <f t="shared" si="89"/>
        <v>DMT</v>
      </c>
      <c r="B258" s="13">
        <f>+B256*(1-B257)</f>
        <v>1435.9590000000001</v>
      </c>
      <c r="D258" s="11"/>
      <c r="E258" s="11"/>
      <c r="F258" s="13"/>
      <c r="G258" s="13"/>
      <c r="H258" s="11"/>
      <c r="I258" s="11"/>
      <c r="J258" s="13"/>
      <c r="K258" s="13"/>
      <c r="L258" s="13"/>
      <c r="M258" s="13"/>
      <c r="O258" s="7" t="s">
        <v>35</v>
      </c>
      <c r="P258" s="13">
        <v>0</v>
      </c>
      <c r="Q258" s="13">
        <v>0</v>
      </c>
    </row>
    <row r="259" spans="1:17" x14ac:dyDescent="0.3">
      <c r="A259" s="7" t="str">
        <f>+A246</f>
        <v>Resultado USD / Kg</v>
      </c>
      <c r="B259" s="13">
        <f>+U261/B256</f>
        <v>0</v>
      </c>
      <c r="D259" s="11"/>
      <c r="E259" s="11"/>
      <c r="F259" s="11"/>
      <c r="G259" s="13"/>
      <c r="H259" s="11"/>
      <c r="I259" s="11"/>
      <c r="J259" s="13"/>
      <c r="K259" s="13"/>
      <c r="L259" s="13"/>
      <c r="M259" s="13"/>
      <c r="O259" s="7" t="s">
        <v>37</v>
      </c>
      <c r="P259" s="13">
        <v>0</v>
      </c>
      <c r="Q259" s="13">
        <v>0</v>
      </c>
    </row>
    <row r="260" spans="1:17" x14ac:dyDescent="0.3">
      <c r="A260" s="16" t="s">
        <v>39</v>
      </c>
      <c r="B260" s="13"/>
      <c r="D260" s="11"/>
      <c r="E260" s="11"/>
      <c r="F260" s="11"/>
      <c r="G260" s="13"/>
      <c r="H260" s="11"/>
      <c r="I260" s="11"/>
      <c r="J260" s="13"/>
      <c r="K260" s="13"/>
      <c r="L260" s="13"/>
      <c r="M260" s="13"/>
      <c r="O260" s="7"/>
      <c r="P260" s="11"/>
      <c r="Q260" s="11"/>
    </row>
    <row r="261" spans="1:17" x14ac:dyDescent="0.3">
      <c r="D261" s="11"/>
      <c r="E261" s="11"/>
      <c r="F261" s="11"/>
      <c r="G261" s="13"/>
      <c r="H261" s="11"/>
      <c r="I261" s="11"/>
      <c r="J261" s="13"/>
      <c r="K261" s="13"/>
      <c r="L261" s="13"/>
      <c r="M261" s="13"/>
      <c r="O261" s="7"/>
      <c r="P261" s="11"/>
      <c r="Q261" s="11"/>
    </row>
    <row r="263" spans="1:17" x14ac:dyDescent="0.3">
      <c r="A263" s="6" t="s">
        <v>5</v>
      </c>
      <c r="B263" s="6"/>
      <c r="D263" s="6" t="s">
        <v>6</v>
      </c>
      <c r="E263" s="6"/>
      <c r="F263" s="6"/>
      <c r="G263" s="6"/>
      <c r="H263" s="6"/>
      <c r="I263" s="6"/>
      <c r="J263" s="6"/>
      <c r="K263" s="6"/>
      <c r="L263" s="6"/>
      <c r="M263" s="6"/>
      <c r="O263" s="6" t="s">
        <v>7</v>
      </c>
      <c r="P263" s="6"/>
      <c r="Q263" s="6"/>
    </row>
    <row r="264" spans="1:17" x14ac:dyDescent="0.3">
      <c r="A264" s="7" t="str">
        <f>+A251</f>
        <v>Arrival date</v>
      </c>
      <c r="B264" s="8">
        <v>45847</v>
      </c>
      <c r="D264" s="6" t="s">
        <v>9</v>
      </c>
      <c r="E264" s="6"/>
      <c r="F264" s="6"/>
      <c r="G264" s="9" t="s">
        <v>10</v>
      </c>
      <c r="H264" s="9" t="s">
        <v>11</v>
      </c>
      <c r="I264" s="9" t="s">
        <v>12</v>
      </c>
      <c r="J264" s="9" t="s">
        <v>13</v>
      </c>
      <c r="K264" s="9" t="s">
        <v>14</v>
      </c>
      <c r="L264" s="9" t="s">
        <v>15</v>
      </c>
      <c r="M264" s="9" t="s">
        <v>16</v>
      </c>
      <c r="N264" s="10"/>
      <c r="O264" s="9" t="s">
        <v>17</v>
      </c>
      <c r="P264" s="9" t="s">
        <v>18</v>
      </c>
      <c r="Q264" s="9" t="s">
        <v>16</v>
      </c>
    </row>
    <row r="265" spans="1:17" x14ac:dyDescent="0.3">
      <c r="A265" s="7" t="str">
        <f t="shared" ref="A265:A271" si="94">+A252</f>
        <v>Receptive date</v>
      </c>
      <c r="B265" s="8">
        <f>+B264</f>
        <v>45847</v>
      </c>
      <c r="D265" s="11" t="s">
        <v>20</v>
      </c>
      <c r="E265" s="11" t="s">
        <v>21</v>
      </c>
      <c r="F265" s="12">
        <v>0.22389999999999999</v>
      </c>
      <c r="G265" s="13">
        <f>+F265*B271</f>
        <v>247.01162969999999</v>
      </c>
      <c r="H265" s="12">
        <f>+IF(F265&gt;=20,(F265-3%)/F265,IF(F265&gt;=23,(F265-5.16%)/F265,(F265-3%)/F265))</f>
        <v>0.86601161232693169</v>
      </c>
      <c r="I265" s="13">
        <f>+G265*H265</f>
        <v>213.91493969999999</v>
      </c>
      <c r="J265" s="13">
        <f>+$G$1</f>
        <v>11803.79</v>
      </c>
      <c r="K265" s="13">
        <f>+K252</f>
        <v>300</v>
      </c>
      <c r="L265" s="13">
        <f>+J265-K265</f>
        <v>11503.79</v>
      </c>
      <c r="M265" s="13">
        <f>+I265*L265/1000</f>
        <v>2460.8325441714633</v>
      </c>
      <c r="O265" s="7" t="s">
        <v>22</v>
      </c>
      <c r="P265" s="14" t="s">
        <v>23</v>
      </c>
      <c r="Q265" s="17">
        <f>600*B271/1000</f>
        <v>661.93379999999991</v>
      </c>
    </row>
    <row r="266" spans="1:17" x14ac:dyDescent="0.3">
      <c r="A266" s="7" t="str">
        <f t="shared" si="94"/>
        <v>Customer lot No.</v>
      </c>
      <c r="B266" s="14" t="s">
        <v>59</v>
      </c>
      <c r="D266" s="11" t="s">
        <v>25</v>
      </c>
      <c r="E266" s="11" t="s">
        <v>26</v>
      </c>
      <c r="F266" s="13">
        <v>190.2</v>
      </c>
      <c r="G266" s="13">
        <f>+B271/1000*F266</f>
        <v>209.83301460000001</v>
      </c>
      <c r="H266" s="12">
        <f>+MIN(0.96,(F266-7)/F266)</f>
        <v>0.96</v>
      </c>
      <c r="I266" s="13">
        <f t="shared" ref="I266:I269" si="95">+G266*H266</f>
        <v>201.439694016</v>
      </c>
      <c r="J266" s="13">
        <f>+$I$1</f>
        <v>4500</v>
      </c>
      <c r="K266" s="13">
        <f t="shared" ref="K266:K269" si="96">+K253</f>
        <v>5</v>
      </c>
      <c r="L266" s="13">
        <f t="shared" ref="L266:L269" si="97">+J266-K266</f>
        <v>4495</v>
      </c>
      <c r="M266" s="13">
        <f>+I266*L266/31.1034768</f>
        <v>29111.582297510871</v>
      </c>
      <c r="O266" s="7" t="s">
        <v>27</v>
      </c>
      <c r="P266" s="11">
        <v>100</v>
      </c>
      <c r="Q266" s="11">
        <f>+B269*P266/1000</f>
        <v>111.1</v>
      </c>
    </row>
    <row r="267" spans="1:17" x14ac:dyDescent="0.3">
      <c r="A267" s="7" t="str">
        <f t="shared" si="94"/>
        <v>Lot No. (JX)</v>
      </c>
      <c r="B267" s="11">
        <v>662</v>
      </c>
      <c r="D267" s="11" t="s">
        <v>29</v>
      </c>
      <c r="E267" s="11" t="s">
        <v>26</v>
      </c>
      <c r="F267" s="13">
        <v>710</v>
      </c>
      <c r="G267" s="13">
        <f>+B271/1000*F267</f>
        <v>783.28833000000009</v>
      </c>
      <c r="H267" s="12">
        <f>+MIN(0.95,MAX(0,(F267-100)/F267))</f>
        <v>0.85915492957746475</v>
      </c>
      <c r="I267" s="13">
        <f t="shared" si="95"/>
        <v>672.96603000000005</v>
      </c>
      <c r="J267" s="13">
        <f>+$K$1</f>
        <v>64.34</v>
      </c>
      <c r="K267" s="13">
        <f t="shared" si="96"/>
        <v>0.5</v>
      </c>
      <c r="L267" s="13">
        <f t="shared" si="97"/>
        <v>63.84</v>
      </c>
      <c r="M267" s="13">
        <f t="shared" ref="M267:M269" si="98">+I267*L267/31.1034768</f>
        <v>1381.2652402640724</v>
      </c>
      <c r="O267" s="7"/>
      <c r="P267" s="11"/>
      <c r="Q267" s="11"/>
    </row>
    <row r="268" spans="1:17" x14ac:dyDescent="0.3">
      <c r="A268" s="7"/>
      <c r="B268" s="11"/>
      <c r="D268" s="11" t="s">
        <v>30</v>
      </c>
      <c r="E268" s="11" t="s">
        <v>26</v>
      </c>
      <c r="F268" s="13"/>
      <c r="G268" s="13"/>
      <c r="H268" s="11"/>
      <c r="I268" s="13">
        <f t="shared" si="95"/>
        <v>0</v>
      </c>
      <c r="J268" s="13">
        <v>0</v>
      </c>
      <c r="K268" s="13">
        <f t="shared" si="96"/>
        <v>0</v>
      </c>
      <c r="L268" s="13">
        <f t="shared" si="97"/>
        <v>0</v>
      </c>
      <c r="M268" s="13">
        <f t="shared" si="98"/>
        <v>0</v>
      </c>
      <c r="O268" s="7"/>
      <c r="P268" s="11"/>
      <c r="Q268" s="11"/>
    </row>
    <row r="269" spans="1:17" x14ac:dyDescent="0.3">
      <c r="A269" s="7" t="str">
        <f t="shared" si="94"/>
        <v>WMT</v>
      </c>
      <c r="B269" s="13">
        <v>1111</v>
      </c>
      <c r="D269" s="11" t="s">
        <v>32</v>
      </c>
      <c r="E269" s="11" t="s">
        <v>26</v>
      </c>
      <c r="F269" s="13">
        <v>36.6</v>
      </c>
      <c r="G269" s="13">
        <f>+B271/1000*F269</f>
        <v>40.377961800000001</v>
      </c>
      <c r="H269" s="12">
        <f>+MAX(0,(F269-18)/F269)</f>
        <v>0.50819672131147542</v>
      </c>
      <c r="I269" s="13">
        <f t="shared" si="95"/>
        <v>20.519947800000001</v>
      </c>
      <c r="J269" s="13">
        <f>+$M$1</f>
        <v>1569</v>
      </c>
      <c r="K269" s="13">
        <f t="shared" si="96"/>
        <v>14</v>
      </c>
      <c r="L269" s="13">
        <f t="shared" si="97"/>
        <v>1555</v>
      </c>
      <c r="M269" s="13">
        <f t="shared" si="98"/>
        <v>1025.8827022514731</v>
      </c>
      <c r="O269" s="7"/>
      <c r="P269" s="11"/>
      <c r="Q269" s="11"/>
    </row>
    <row r="270" spans="1:17" x14ac:dyDescent="0.3">
      <c r="A270" s="7" t="str">
        <f t="shared" si="94"/>
        <v>Moisture</v>
      </c>
      <c r="B270" s="15">
        <v>7.0000000000000001E-3</v>
      </c>
      <c r="D270" s="11"/>
      <c r="E270" s="11"/>
      <c r="F270" s="11"/>
      <c r="G270" s="13"/>
      <c r="H270" s="11"/>
      <c r="I270" s="11"/>
      <c r="J270" s="13"/>
      <c r="K270" s="13"/>
      <c r="L270" s="13"/>
      <c r="M270" s="13"/>
      <c r="O270" s="7"/>
      <c r="P270" s="11"/>
      <c r="Q270" s="11"/>
    </row>
    <row r="271" spans="1:17" x14ac:dyDescent="0.3">
      <c r="A271" s="7" t="str">
        <f t="shared" si="94"/>
        <v>DMT</v>
      </c>
      <c r="B271" s="13">
        <f>+B269*(1-B270)</f>
        <v>1103.223</v>
      </c>
      <c r="D271" s="11"/>
      <c r="E271" s="11"/>
      <c r="F271" s="11"/>
      <c r="G271" s="13"/>
      <c r="H271" s="11"/>
      <c r="I271" s="11"/>
      <c r="J271" s="13"/>
      <c r="K271" s="13"/>
      <c r="L271" s="13"/>
      <c r="M271" s="13"/>
      <c r="O271" s="7" t="s">
        <v>35</v>
      </c>
      <c r="P271" s="13">
        <v>0</v>
      </c>
      <c r="Q271" s="13">
        <v>0</v>
      </c>
    </row>
    <row r="272" spans="1:17" x14ac:dyDescent="0.3">
      <c r="A272" s="7" t="str">
        <f>+A259</f>
        <v>Resultado USD / Kg</v>
      </c>
      <c r="B272" s="13">
        <f>+U274/B269</f>
        <v>0</v>
      </c>
      <c r="D272" s="11"/>
      <c r="E272" s="11"/>
      <c r="F272" s="11"/>
      <c r="G272" s="13"/>
      <c r="H272" s="11"/>
      <c r="I272" s="11"/>
      <c r="J272" s="13"/>
      <c r="K272" s="13"/>
      <c r="L272" s="13"/>
      <c r="M272" s="13"/>
      <c r="O272" s="7" t="s">
        <v>37</v>
      </c>
      <c r="P272" s="13">
        <v>0</v>
      </c>
      <c r="Q272" s="13">
        <v>0</v>
      </c>
    </row>
    <row r="273" spans="1:17" x14ac:dyDescent="0.3">
      <c r="A273" s="16" t="s">
        <v>52</v>
      </c>
      <c r="B273" s="13"/>
      <c r="D273" s="11"/>
      <c r="E273" s="11"/>
      <c r="F273" s="11"/>
      <c r="G273" s="13"/>
      <c r="H273" s="11"/>
      <c r="I273" s="11"/>
      <c r="J273" s="13"/>
      <c r="K273" s="13"/>
      <c r="L273" s="13"/>
      <c r="M273" s="13"/>
      <c r="O273" s="7"/>
      <c r="P273" s="11"/>
      <c r="Q273" s="11"/>
    </row>
    <row r="274" spans="1:17" x14ac:dyDescent="0.3">
      <c r="D274" s="11"/>
      <c r="E274" s="11"/>
      <c r="F274" s="11"/>
      <c r="G274" s="13"/>
      <c r="H274" s="11"/>
      <c r="I274" s="11"/>
      <c r="J274" s="13"/>
      <c r="K274" s="13"/>
      <c r="L274" s="13"/>
      <c r="M274" s="13"/>
      <c r="O274" s="7"/>
      <c r="P274" s="11"/>
      <c r="Q274" s="11"/>
    </row>
    <row r="276" spans="1:17" x14ac:dyDescent="0.3">
      <c r="A276" s="6" t="s">
        <v>5</v>
      </c>
      <c r="B276" s="6"/>
      <c r="D276" s="6" t="s">
        <v>6</v>
      </c>
      <c r="E276" s="6"/>
      <c r="F276" s="6"/>
      <c r="G276" s="6"/>
      <c r="H276" s="6"/>
      <c r="I276" s="6"/>
      <c r="J276" s="6"/>
      <c r="K276" s="6"/>
      <c r="L276" s="6"/>
      <c r="M276" s="6"/>
      <c r="O276" s="6" t="s">
        <v>7</v>
      </c>
      <c r="P276" s="6"/>
      <c r="Q276" s="6"/>
    </row>
    <row r="277" spans="1:17" x14ac:dyDescent="0.3">
      <c r="A277" s="7" t="str">
        <f>+A264</f>
        <v>Arrival date</v>
      </c>
      <c r="B277" s="8">
        <v>45847</v>
      </c>
      <c r="D277" s="6" t="s">
        <v>9</v>
      </c>
      <c r="E277" s="6"/>
      <c r="F277" s="6"/>
      <c r="G277" s="9" t="s">
        <v>10</v>
      </c>
      <c r="H277" s="9" t="s">
        <v>11</v>
      </c>
      <c r="I277" s="9" t="s">
        <v>12</v>
      </c>
      <c r="J277" s="9" t="s">
        <v>13</v>
      </c>
      <c r="K277" s="9" t="s">
        <v>14</v>
      </c>
      <c r="L277" s="9" t="s">
        <v>15</v>
      </c>
      <c r="M277" s="9" t="s">
        <v>16</v>
      </c>
      <c r="N277" s="10"/>
      <c r="O277" s="9" t="s">
        <v>17</v>
      </c>
      <c r="P277" s="9" t="s">
        <v>18</v>
      </c>
      <c r="Q277" s="9" t="s">
        <v>16</v>
      </c>
    </row>
    <row r="278" spans="1:17" x14ac:dyDescent="0.3">
      <c r="A278" s="7" t="str">
        <f t="shared" ref="A278:A284" si="99">+A265</f>
        <v>Receptive date</v>
      </c>
      <c r="B278" s="8">
        <f>+B277</f>
        <v>45847</v>
      </c>
      <c r="D278" s="11" t="s">
        <v>20</v>
      </c>
      <c r="E278" s="11" t="s">
        <v>21</v>
      </c>
      <c r="F278" s="12">
        <v>0.219</v>
      </c>
      <c r="G278" s="13">
        <f>+F278*B284</f>
        <v>416.72108400000002</v>
      </c>
      <c r="H278" s="12">
        <f>+IF(F278&gt;=20,(F278-3%)/F278,IF(F278&gt;=23,(F278-5.16%)/F278,(F278-3%)/F278))</f>
        <v>0.86301369863013699</v>
      </c>
      <c r="I278" s="13">
        <f>+G278*H278</f>
        <v>359.63600400000001</v>
      </c>
      <c r="J278" s="13">
        <f>+$G$1</f>
        <v>11803.79</v>
      </c>
      <c r="K278" s="13">
        <f>+K265</f>
        <v>300</v>
      </c>
      <c r="L278" s="13">
        <f>+J278-K278</f>
        <v>11503.79</v>
      </c>
      <c r="M278" s="13">
        <f>+I278*L278/1000</f>
        <v>4137.1770664551605</v>
      </c>
      <c r="O278" s="7" t="s">
        <v>22</v>
      </c>
      <c r="P278" s="14" t="s">
        <v>23</v>
      </c>
      <c r="Q278" s="17">
        <f>600*B284/1000</f>
        <v>1141.7016000000001</v>
      </c>
    </row>
    <row r="279" spans="1:17" x14ac:dyDescent="0.3">
      <c r="A279" s="7" t="str">
        <f t="shared" si="99"/>
        <v>Customer lot No.</v>
      </c>
      <c r="B279" s="14" t="s">
        <v>60</v>
      </c>
      <c r="D279" s="11" t="s">
        <v>25</v>
      </c>
      <c r="E279" s="11" t="s">
        <v>26</v>
      </c>
      <c r="F279" s="13">
        <v>121</v>
      </c>
      <c r="G279" s="13">
        <f>+B284/1000*F279</f>
        <v>230.243156</v>
      </c>
      <c r="H279" s="12">
        <f>+MIN(0.96,(F279-7)/F279)</f>
        <v>0.94214876033057848</v>
      </c>
      <c r="I279" s="13">
        <f t="shared" ref="I279:I282" si="100">+G279*H279</f>
        <v>216.923304</v>
      </c>
      <c r="J279" s="13">
        <f>+$I$1</f>
        <v>4500</v>
      </c>
      <c r="K279" s="13">
        <f t="shared" ref="K279:K282" si="101">+K266</f>
        <v>5</v>
      </c>
      <c r="L279" s="13">
        <f t="shared" ref="L279:L282" si="102">+J279-K279</f>
        <v>4495</v>
      </c>
      <c r="M279" s="13">
        <f>+I279*L279/31.1034768</f>
        <v>31349.236541941831</v>
      </c>
      <c r="O279" s="7" t="s">
        <v>27</v>
      </c>
      <c r="P279" s="11">
        <v>100</v>
      </c>
      <c r="Q279" s="11">
        <f>+B282*P279/1000</f>
        <v>192.4</v>
      </c>
    </row>
    <row r="280" spans="1:17" x14ac:dyDescent="0.3">
      <c r="A280" s="7" t="str">
        <f t="shared" si="99"/>
        <v>Lot No. (JX)</v>
      </c>
      <c r="B280" s="11">
        <v>663</v>
      </c>
      <c r="D280" s="11" t="s">
        <v>29</v>
      </c>
      <c r="E280" s="11" t="s">
        <v>26</v>
      </c>
      <c r="F280" s="13">
        <v>665</v>
      </c>
      <c r="G280" s="13">
        <f>+B284/1000*F280</f>
        <v>1265.3859399999999</v>
      </c>
      <c r="H280" s="12">
        <f>+MIN(0.95,MAX(0,(F280-100)/F280))</f>
        <v>0.84962406015037595</v>
      </c>
      <c r="I280" s="13">
        <f t="shared" si="100"/>
        <v>1075.1023399999999</v>
      </c>
      <c r="J280" s="13">
        <f>+$K$1</f>
        <v>64.34</v>
      </c>
      <c r="K280" s="13">
        <f t="shared" si="101"/>
        <v>0.5</v>
      </c>
      <c r="L280" s="13">
        <f t="shared" si="102"/>
        <v>63.84</v>
      </c>
      <c r="M280" s="13">
        <f t="shared" ref="M280:M282" si="103">+I280*L280/31.1034768</f>
        <v>2206.6514887364615</v>
      </c>
      <c r="O280" s="7"/>
      <c r="P280" s="11"/>
      <c r="Q280" s="11"/>
    </row>
    <row r="281" spans="1:17" x14ac:dyDescent="0.3">
      <c r="A281" s="7"/>
      <c r="B281" s="11"/>
      <c r="D281" s="11" t="s">
        <v>30</v>
      </c>
      <c r="E281" s="11" t="s">
        <v>26</v>
      </c>
      <c r="F281" s="13"/>
      <c r="G281" s="13"/>
      <c r="H281" s="11"/>
      <c r="I281" s="13">
        <f t="shared" si="100"/>
        <v>0</v>
      </c>
      <c r="J281" s="13">
        <v>0</v>
      </c>
      <c r="K281" s="13">
        <f t="shared" si="101"/>
        <v>0</v>
      </c>
      <c r="L281" s="13">
        <f t="shared" si="102"/>
        <v>0</v>
      </c>
      <c r="M281" s="13">
        <f t="shared" si="103"/>
        <v>0</v>
      </c>
      <c r="O281" s="7"/>
      <c r="P281" s="11"/>
      <c r="Q281" s="11"/>
    </row>
    <row r="282" spans="1:17" x14ac:dyDescent="0.3">
      <c r="A282" s="7" t="str">
        <f t="shared" si="99"/>
        <v>WMT</v>
      </c>
      <c r="B282" s="13">
        <v>1924</v>
      </c>
      <c r="D282" s="11" t="s">
        <v>32</v>
      </c>
      <c r="E282" s="11" t="s">
        <v>26</v>
      </c>
      <c r="F282" s="13">
        <v>5.8</v>
      </c>
      <c r="G282" s="13">
        <f>+B284/1000*F282</f>
        <v>11.036448799999999</v>
      </c>
      <c r="H282" s="12">
        <f>+MAX(0,(F282-18)/F282)</f>
        <v>0</v>
      </c>
      <c r="I282" s="13">
        <f t="shared" si="100"/>
        <v>0</v>
      </c>
      <c r="J282" s="13">
        <f>+$M$1</f>
        <v>1569</v>
      </c>
      <c r="K282" s="13">
        <f t="shared" si="101"/>
        <v>14</v>
      </c>
      <c r="L282" s="13">
        <f t="shared" si="102"/>
        <v>1555</v>
      </c>
      <c r="M282" s="13">
        <f t="shared" si="103"/>
        <v>0</v>
      </c>
      <c r="O282" s="7"/>
      <c r="P282" s="11"/>
      <c r="Q282" s="11"/>
    </row>
    <row r="283" spans="1:17" x14ac:dyDescent="0.3">
      <c r="A283" s="7" t="str">
        <f t="shared" si="99"/>
        <v>Moisture</v>
      </c>
      <c r="B283" s="15">
        <v>1.0999999999999999E-2</v>
      </c>
      <c r="D283" s="11"/>
      <c r="E283" s="11"/>
      <c r="F283" s="11"/>
      <c r="G283" s="13"/>
      <c r="H283" s="11"/>
      <c r="I283" s="11"/>
      <c r="J283" s="13"/>
      <c r="K283" s="13"/>
      <c r="L283" s="13"/>
      <c r="M283" s="13"/>
      <c r="O283" s="7"/>
      <c r="P283" s="11"/>
      <c r="Q283" s="11"/>
    </row>
    <row r="284" spans="1:17" x14ac:dyDescent="0.3">
      <c r="A284" s="7" t="str">
        <f t="shared" si="99"/>
        <v>DMT</v>
      </c>
      <c r="B284" s="13">
        <f>+B282*(1-B283)</f>
        <v>1902.836</v>
      </c>
      <c r="D284" s="11"/>
      <c r="E284" s="11"/>
      <c r="F284" s="11"/>
      <c r="G284" s="13"/>
      <c r="H284" s="11"/>
      <c r="I284" s="11"/>
      <c r="J284" s="13"/>
      <c r="K284" s="13"/>
      <c r="L284" s="13"/>
      <c r="M284" s="13"/>
      <c r="O284" s="7" t="s">
        <v>35</v>
      </c>
      <c r="P284" s="13">
        <v>0</v>
      </c>
      <c r="Q284" s="13">
        <v>0</v>
      </c>
    </row>
    <row r="285" spans="1:17" x14ac:dyDescent="0.3">
      <c r="A285" s="7" t="str">
        <f>+A272</f>
        <v>Resultado USD / Kg</v>
      </c>
      <c r="B285" s="13">
        <f>+U287/B282</f>
        <v>0</v>
      </c>
      <c r="D285" s="11"/>
      <c r="E285" s="11"/>
      <c r="F285" s="11"/>
      <c r="G285" s="13"/>
      <c r="H285" s="11"/>
      <c r="I285" s="11"/>
      <c r="J285" s="13"/>
      <c r="K285" s="13"/>
      <c r="L285" s="13"/>
      <c r="M285" s="13"/>
      <c r="O285" s="7" t="s">
        <v>37</v>
      </c>
      <c r="P285" s="13">
        <v>0</v>
      </c>
      <c r="Q285" s="13">
        <v>0</v>
      </c>
    </row>
    <row r="286" spans="1:17" x14ac:dyDescent="0.3">
      <c r="A286" s="18" t="s">
        <v>61</v>
      </c>
      <c r="B286" s="13"/>
      <c r="D286" s="11"/>
      <c r="E286" s="11"/>
      <c r="F286" s="11"/>
      <c r="G286" s="13"/>
      <c r="H286" s="11"/>
      <c r="I286" s="11"/>
      <c r="J286" s="13"/>
      <c r="K286" s="13"/>
      <c r="L286" s="13"/>
      <c r="M286" s="13"/>
      <c r="O286" s="7"/>
      <c r="P286" s="11"/>
      <c r="Q286" s="11"/>
    </row>
    <row r="287" spans="1:17" x14ac:dyDescent="0.3">
      <c r="D287" s="11"/>
      <c r="E287" s="11"/>
      <c r="F287" s="11"/>
      <c r="G287" s="13"/>
      <c r="H287" s="11"/>
      <c r="I287" s="11"/>
      <c r="J287" s="13"/>
      <c r="K287" s="13"/>
      <c r="L287" s="13"/>
      <c r="M287" s="13"/>
      <c r="O287" s="7"/>
      <c r="P287" s="11"/>
      <c r="Q287" s="11"/>
    </row>
    <row r="289" spans="1:17" x14ac:dyDescent="0.3">
      <c r="A289" s="6" t="s">
        <v>5</v>
      </c>
      <c r="B289" s="6"/>
      <c r="D289" s="6" t="s">
        <v>6</v>
      </c>
      <c r="E289" s="6"/>
      <c r="F289" s="6"/>
      <c r="G289" s="6"/>
      <c r="H289" s="6"/>
      <c r="I289" s="6"/>
      <c r="J289" s="6"/>
      <c r="K289" s="6"/>
      <c r="L289" s="6"/>
      <c r="M289" s="6"/>
      <c r="O289" s="6" t="s">
        <v>7</v>
      </c>
      <c r="P289" s="6"/>
      <c r="Q289" s="6"/>
    </row>
    <row r="290" spans="1:17" x14ac:dyDescent="0.3">
      <c r="A290" s="7" t="str">
        <f>+A277</f>
        <v>Arrival date</v>
      </c>
      <c r="B290" s="8">
        <v>45847</v>
      </c>
      <c r="D290" s="6" t="s">
        <v>9</v>
      </c>
      <c r="E290" s="6"/>
      <c r="F290" s="6"/>
      <c r="G290" s="9" t="s">
        <v>10</v>
      </c>
      <c r="H290" s="9" t="s">
        <v>11</v>
      </c>
      <c r="I290" s="9" t="s">
        <v>12</v>
      </c>
      <c r="J290" s="9" t="s">
        <v>13</v>
      </c>
      <c r="K290" s="9" t="s">
        <v>14</v>
      </c>
      <c r="L290" s="9" t="s">
        <v>15</v>
      </c>
      <c r="M290" s="9" t="s">
        <v>16</v>
      </c>
      <c r="N290" s="10"/>
      <c r="O290" s="9" t="s">
        <v>17</v>
      </c>
      <c r="P290" s="9" t="s">
        <v>18</v>
      </c>
      <c r="Q290" s="9" t="s">
        <v>16</v>
      </c>
    </row>
    <row r="291" spans="1:17" x14ac:dyDescent="0.3">
      <c r="A291" s="7" t="str">
        <f t="shared" ref="A291:A297" si="104">+A278</f>
        <v>Receptive date</v>
      </c>
      <c r="B291" s="8">
        <f>+B290</f>
        <v>45847</v>
      </c>
      <c r="D291" s="11" t="s">
        <v>20</v>
      </c>
      <c r="E291" s="11" t="s">
        <v>21</v>
      </c>
      <c r="F291" s="12">
        <v>0.1857</v>
      </c>
      <c r="G291" s="13">
        <f>+F291*B297</f>
        <v>46.004760900000001</v>
      </c>
      <c r="H291" s="12">
        <f>+IF(F291&gt;=20,(F291-3%)/F291,IF(F291&gt;=23,(F291-5.16%)/F291,(F291-3%)/F291))</f>
        <v>0.83844911147011314</v>
      </c>
      <c r="I291" s="13">
        <f>+G291*H291</f>
        <v>38.572650900000006</v>
      </c>
      <c r="J291" s="13">
        <f>+$G$1</f>
        <v>11803.79</v>
      </c>
      <c r="K291" s="13">
        <f>+K278</f>
        <v>300</v>
      </c>
      <c r="L291" s="13">
        <f>+J291-K291</f>
        <v>11503.79</v>
      </c>
      <c r="M291" s="13">
        <f>+I291*L291/1000</f>
        <v>443.73167569691111</v>
      </c>
      <c r="O291" s="7" t="s">
        <v>22</v>
      </c>
      <c r="P291" s="14" t="s">
        <v>23</v>
      </c>
      <c r="Q291" s="17">
        <f>600*B297/1000</f>
        <v>148.64219999999997</v>
      </c>
    </row>
    <row r="292" spans="1:17" x14ac:dyDescent="0.3">
      <c r="A292" s="7" t="str">
        <f t="shared" si="104"/>
        <v>Customer lot No.</v>
      </c>
      <c r="B292" s="14" t="s">
        <v>62</v>
      </c>
      <c r="D292" s="11" t="s">
        <v>25</v>
      </c>
      <c r="E292" s="11" t="s">
        <v>26</v>
      </c>
      <c r="F292" s="13">
        <v>237.1</v>
      </c>
      <c r="G292" s="13">
        <f>+B297/1000*F292</f>
        <v>58.738442699999993</v>
      </c>
      <c r="H292" s="12">
        <f>+MIN(0.96,(F292-7)/F292)</f>
        <v>0.96</v>
      </c>
      <c r="I292" s="13">
        <f t="shared" ref="I292:I295" si="105">+G292*H292</f>
        <v>56.388904991999993</v>
      </c>
      <c r="J292" s="13">
        <f>+$I$1</f>
        <v>4500</v>
      </c>
      <c r="K292" s="13">
        <f t="shared" ref="K292:K295" si="106">+K279</f>
        <v>5</v>
      </c>
      <c r="L292" s="13">
        <f t="shared" ref="L292:L295" si="107">+J292-K292</f>
        <v>4495</v>
      </c>
      <c r="M292" s="13">
        <f>+I292*L292/31.1034768</f>
        <v>8149.1895445926475</v>
      </c>
      <c r="O292" s="7" t="s">
        <v>27</v>
      </c>
      <c r="P292" s="11">
        <v>100</v>
      </c>
      <c r="Q292" s="11">
        <f>+B295*P292/1000</f>
        <v>25.1</v>
      </c>
    </row>
    <row r="293" spans="1:17" x14ac:dyDescent="0.3">
      <c r="A293" s="7" t="str">
        <f t="shared" si="104"/>
        <v>Lot No. (JX)</v>
      </c>
      <c r="B293" s="11">
        <v>66</v>
      </c>
      <c r="D293" s="11" t="s">
        <v>29</v>
      </c>
      <c r="E293" s="11" t="s">
        <v>26</v>
      </c>
      <c r="F293" s="13">
        <v>2983</v>
      </c>
      <c r="G293" s="13">
        <f>+B297/1000*F293</f>
        <v>738.99947099999997</v>
      </c>
      <c r="H293" s="12">
        <f>+MIN(0.95,MAX(0,(F293-100)/F293))</f>
        <v>0.95</v>
      </c>
      <c r="I293" s="13">
        <f t="shared" si="105"/>
        <v>702.04949744999999</v>
      </c>
      <c r="J293" s="13">
        <f>+$K$1</f>
        <v>64.34</v>
      </c>
      <c r="K293" s="13">
        <f t="shared" si="106"/>
        <v>0.5</v>
      </c>
      <c r="L293" s="13">
        <f t="shared" si="107"/>
        <v>63.84</v>
      </c>
      <c r="M293" s="13">
        <f t="shared" ref="M293:M295" si="108">+I293*L293/31.1034768</f>
        <v>1440.9591636780619</v>
      </c>
      <c r="O293" s="7"/>
      <c r="P293" s="11"/>
      <c r="Q293" s="11"/>
    </row>
    <row r="294" spans="1:17" x14ac:dyDescent="0.3">
      <c r="A294" s="7"/>
      <c r="B294" s="11"/>
      <c r="D294" s="11" t="s">
        <v>30</v>
      </c>
      <c r="E294" s="11" t="s">
        <v>26</v>
      </c>
      <c r="F294" s="13"/>
      <c r="G294" s="13"/>
      <c r="H294" s="11"/>
      <c r="I294" s="13">
        <f t="shared" si="105"/>
        <v>0</v>
      </c>
      <c r="J294" s="13">
        <v>0</v>
      </c>
      <c r="K294" s="13">
        <f t="shared" si="106"/>
        <v>0</v>
      </c>
      <c r="L294" s="13">
        <f t="shared" si="107"/>
        <v>0</v>
      </c>
      <c r="M294" s="13">
        <f t="shared" si="108"/>
        <v>0</v>
      </c>
      <c r="O294" s="7"/>
      <c r="P294" s="11"/>
      <c r="Q294" s="11"/>
    </row>
    <row r="295" spans="1:17" x14ac:dyDescent="0.3">
      <c r="A295" s="7" t="str">
        <f t="shared" si="104"/>
        <v>WMT</v>
      </c>
      <c r="B295" s="13">
        <v>251</v>
      </c>
      <c r="D295" s="11" t="s">
        <v>32</v>
      </c>
      <c r="E295" s="11" t="s">
        <v>26</v>
      </c>
      <c r="F295" s="13">
        <v>18.5</v>
      </c>
      <c r="G295" s="13">
        <f>+B297/1000*F295</f>
        <v>4.5831344999999999</v>
      </c>
      <c r="H295" s="12">
        <f>+MAX(0,(F295-18)/F295)</f>
        <v>2.7027027027027029E-2</v>
      </c>
      <c r="I295" s="13">
        <f t="shared" si="105"/>
        <v>0.12386850000000001</v>
      </c>
      <c r="J295" s="13">
        <f>+$M$1</f>
        <v>1569</v>
      </c>
      <c r="K295" s="13">
        <f t="shared" si="106"/>
        <v>14</v>
      </c>
      <c r="L295" s="13">
        <f t="shared" si="107"/>
        <v>1555</v>
      </c>
      <c r="M295" s="13">
        <f t="shared" si="108"/>
        <v>6.1927326883276281</v>
      </c>
      <c r="O295" s="7"/>
      <c r="P295" s="11"/>
      <c r="Q295" s="11"/>
    </row>
    <row r="296" spans="1:17" x14ac:dyDescent="0.3">
      <c r="A296" s="7" t="str">
        <f t="shared" si="104"/>
        <v>Moisture</v>
      </c>
      <c r="B296" s="15">
        <v>1.2999999999999999E-2</v>
      </c>
      <c r="D296" s="11"/>
      <c r="E296" s="11"/>
      <c r="F296" s="11"/>
      <c r="G296" s="13"/>
      <c r="H296" s="11"/>
      <c r="I296" s="11"/>
      <c r="J296" s="13"/>
      <c r="K296" s="13"/>
      <c r="L296" s="13"/>
      <c r="M296" s="13"/>
      <c r="O296" s="7"/>
      <c r="P296" s="11"/>
      <c r="Q296" s="11"/>
    </row>
    <row r="297" spans="1:17" x14ac:dyDescent="0.3">
      <c r="A297" s="7" t="str">
        <f t="shared" si="104"/>
        <v>DMT</v>
      </c>
      <c r="B297" s="13">
        <f>+B295*(1-B296)</f>
        <v>247.73699999999999</v>
      </c>
      <c r="D297" s="11"/>
      <c r="E297" s="11"/>
      <c r="F297" s="11"/>
      <c r="G297" s="13"/>
      <c r="H297" s="11"/>
      <c r="I297" s="11"/>
      <c r="J297" s="13"/>
      <c r="K297" s="13"/>
      <c r="L297" s="13"/>
      <c r="M297" s="13"/>
      <c r="O297" s="7" t="s">
        <v>35</v>
      </c>
      <c r="P297" s="13">
        <v>0</v>
      </c>
      <c r="Q297" s="13">
        <v>0</v>
      </c>
    </row>
    <row r="298" spans="1:17" x14ac:dyDescent="0.3">
      <c r="A298" s="7" t="str">
        <f>+A285</f>
        <v>Resultado USD / Kg</v>
      </c>
      <c r="B298" s="13">
        <f>+U300/B295</f>
        <v>0</v>
      </c>
      <c r="D298" s="11"/>
      <c r="E298" s="11"/>
      <c r="F298" s="11"/>
      <c r="G298" s="13"/>
      <c r="H298" s="11"/>
      <c r="I298" s="11"/>
      <c r="J298" s="13"/>
      <c r="K298" s="13"/>
      <c r="L298" s="13"/>
      <c r="M298" s="13"/>
      <c r="O298" s="7" t="s">
        <v>37</v>
      </c>
      <c r="P298" s="13">
        <v>0</v>
      </c>
      <c r="Q298" s="13">
        <v>0</v>
      </c>
    </row>
    <row r="299" spans="1:17" x14ac:dyDescent="0.3">
      <c r="A299" s="18" t="s">
        <v>40</v>
      </c>
      <c r="B299" s="13"/>
      <c r="D299" s="11"/>
      <c r="E299" s="11"/>
      <c r="F299" s="11"/>
      <c r="G299" s="13"/>
      <c r="H299" s="11"/>
      <c r="I299" s="11"/>
      <c r="J299" s="13"/>
      <c r="K299" s="13"/>
      <c r="L299" s="13"/>
      <c r="M299" s="13"/>
      <c r="O299" s="7"/>
      <c r="P299" s="11"/>
      <c r="Q299" s="11"/>
    </row>
    <row r="300" spans="1:17" x14ac:dyDescent="0.3">
      <c r="D300" s="11"/>
      <c r="E300" s="11"/>
      <c r="F300" s="11"/>
      <c r="G300" s="13"/>
      <c r="H300" s="11"/>
      <c r="I300" s="11"/>
      <c r="J300" s="13"/>
      <c r="K300" s="13"/>
      <c r="L300" s="13"/>
      <c r="M300" s="13"/>
      <c r="O300" s="7"/>
      <c r="P300" s="11"/>
      <c r="Q300" s="11"/>
    </row>
    <row r="302" spans="1:17" x14ac:dyDescent="0.3">
      <c r="A302" s="6" t="s">
        <v>5</v>
      </c>
      <c r="B302" s="6"/>
      <c r="D302" s="6" t="s">
        <v>6</v>
      </c>
      <c r="E302" s="6"/>
      <c r="F302" s="6"/>
      <c r="G302" s="6"/>
      <c r="H302" s="6"/>
      <c r="I302" s="6"/>
      <c r="J302" s="6"/>
      <c r="K302" s="6"/>
      <c r="L302" s="6"/>
      <c r="M302" s="6"/>
      <c r="O302" s="6" t="s">
        <v>7</v>
      </c>
      <c r="P302" s="6"/>
      <c r="Q302" s="6"/>
    </row>
    <row r="303" spans="1:17" x14ac:dyDescent="0.3">
      <c r="A303" s="7" t="str">
        <f>+A290</f>
        <v>Arrival date</v>
      </c>
      <c r="B303" s="8">
        <v>45847</v>
      </c>
      <c r="D303" s="6" t="s">
        <v>9</v>
      </c>
      <c r="E303" s="6"/>
      <c r="F303" s="6"/>
      <c r="G303" s="9" t="s">
        <v>10</v>
      </c>
      <c r="H303" s="9" t="s">
        <v>11</v>
      </c>
      <c r="I303" s="9" t="s">
        <v>12</v>
      </c>
      <c r="J303" s="9" t="s">
        <v>13</v>
      </c>
      <c r="K303" s="9" t="s">
        <v>14</v>
      </c>
      <c r="L303" s="9" t="s">
        <v>15</v>
      </c>
      <c r="M303" s="9" t="s">
        <v>16</v>
      </c>
      <c r="N303" s="10"/>
      <c r="O303" s="9" t="s">
        <v>17</v>
      </c>
      <c r="P303" s="9" t="s">
        <v>18</v>
      </c>
      <c r="Q303" s="9" t="s">
        <v>16</v>
      </c>
    </row>
    <row r="304" spans="1:17" x14ac:dyDescent="0.3">
      <c r="A304" s="7" t="str">
        <f t="shared" ref="A304:A310" si="109">+A291</f>
        <v>Receptive date</v>
      </c>
      <c r="B304" s="8">
        <f>+B303</f>
        <v>45847</v>
      </c>
      <c r="D304" s="11" t="s">
        <v>20</v>
      </c>
      <c r="E304" s="11" t="s">
        <v>21</v>
      </c>
      <c r="F304" s="12">
        <v>0.23369999999999999</v>
      </c>
      <c r="G304" s="13">
        <f>+F304*B310</f>
        <v>175.61713679999997</v>
      </c>
      <c r="H304" s="12">
        <f>+IF(F304&gt;=20,(F304-3%)/F304,IF(F304&gt;=23,(F304-5.16%)/F304,(F304-3%)/F304))</f>
        <v>0.87163029525032087</v>
      </c>
      <c r="I304" s="13">
        <f>+G304*H304</f>
        <v>153.07321679999995</v>
      </c>
      <c r="J304" s="13">
        <f>+$G$1</f>
        <v>11803.79</v>
      </c>
      <c r="K304" s="13">
        <f>+K291</f>
        <v>300</v>
      </c>
      <c r="L304" s="13">
        <f>+J304-K304</f>
        <v>11503.79</v>
      </c>
      <c r="M304" s="13">
        <f>+I304*L304/1000</f>
        <v>1760.9221406916715</v>
      </c>
      <c r="O304" s="7" t="s">
        <v>22</v>
      </c>
      <c r="P304" s="14" t="s">
        <v>23</v>
      </c>
      <c r="Q304" s="17">
        <f>600*B310/1000</f>
        <v>450.87839999999994</v>
      </c>
    </row>
    <row r="305" spans="1:17" x14ac:dyDescent="0.3">
      <c r="A305" s="7" t="str">
        <f t="shared" si="109"/>
        <v>Customer lot No.</v>
      </c>
      <c r="B305" s="14" t="s">
        <v>63</v>
      </c>
      <c r="D305" s="11" t="s">
        <v>25</v>
      </c>
      <c r="E305" s="11" t="s">
        <v>26</v>
      </c>
      <c r="F305" s="13">
        <v>221.3</v>
      </c>
      <c r="G305" s="13">
        <f>+B310/1000*F305</f>
        <v>166.29898319999998</v>
      </c>
      <c r="H305" s="12">
        <f>+MIN(0.96,(F305-7)/F305)</f>
        <v>0.96</v>
      </c>
      <c r="I305" s="13">
        <f t="shared" ref="I305:I308" si="110">+G305*H305</f>
        <v>159.64702387199998</v>
      </c>
      <c r="J305" s="13">
        <f>+$I$1</f>
        <v>4500</v>
      </c>
      <c r="K305" s="13">
        <f t="shared" ref="K305:K308" si="111">+K292</f>
        <v>5</v>
      </c>
      <c r="L305" s="13">
        <f t="shared" ref="L305:L308" si="112">+J305-K305</f>
        <v>4495</v>
      </c>
      <c r="M305" s="13">
        <f>+I305*L305/31.1034768</f>
        <v>23071.805667224955</v>
      </c>
      <c r="O305" s="7" t="s">
        <v>27</v>
      </c>
      <c r="P305" s="11">
        <v>100</v>
      </c>
      <c r="Q305" s="11">
        <f>+B308*P305/1000</f>
        <v>75.599999999999994</v>
      </c>
    </row>
    <row r="306" spans="1:17" x14ac:dyDescent="0.3">
      <c r="A306" s="7" t="str">
        <f t="shared" si="109"/>
        <v>Lot No. (JX)</v>
      </c>
      <c r="B306" s="11">
        <v>665</v>
      </c>
      <c r="D306" s="11" t="s">
        <v>29</v>
      </c>
      <c r="E306" s="11" t="s">
        <v>26</v>
      </c>
      <c r="F306" s="13">
        <v>911</v>
      </c>
      <c r="G306" s="13">
        <f>+B310/1000*F306</f>
        <v>684.5837039999999</v>
      </c>
      <c r="H306" s="12">
        <f>+MIN(0.95,MAX(0,(F306-100)/F306))</f>
        <v>0.8902305159165752</v>
      </c>
      <c r="I306" s="13">
        <f t="shared" si="110"/>
        <v>609.43730399999993</v>
      </c>
      <c r="J306" s="13">
        <f>+$K$1</f>
        <v>64.34</v>
      </c>
      <c r="K306" s="13">
        <f t="shared" si="111"/>
        <v>0.5</v>
      </c>
      <c r="L306" s="13">
        <f t="shared" si="112"/>
        <v>63.84</v>
      </c>
      <c r="M306" s="13">
        <f t="shared" ref="M306:M308" si="113">+I306*L306/31.1034768</f>
        <v>1250.8722975741412</v>
      </c>
      <c r="O306" s="7"/>
      <c r="P306" s="11"/>
      <c r="Q306" s="11"/>
    </row>
    <row r="307" spans="1:17" x14ac:dyDescent="0.3">
      <c r="A307" s="7"/>
      <c r="B307" s="11"/>
      <c r="D307" s="11" t="s">
        <v>30</v>
      </c>
      <c r="E307" s="11" t="s">
        <v>26</v>
      </c>
      <c r="F307" s="13"/>
      <c r="G307" s="13"/>
      <c r="H307" s="11"/>
      <c r="I307" s="13">
        <f t="shared" si="110"/>
        <v>0</v>
      </c>
      <c r="J307" s="13">
        <v>0</v>
      </c>
      <c r="K307" s="13">
        <f t="shared" si="111"/>
        <v>0</v>
      </c>
      <c r="L307" s="13">
        <f t="shared" si="112"/>
        <v>0</v>
      </c>
      <c r="M307" s="13">
        <f t="shared" si="113"/>
        <v>0</v>
      </c>
      <c r="O307" s="7"/>
      <c r="P307" s="11"/>
      <c r="Q307" s="11"/>
    </row>
    <row r="308" spans="1:17" x14ac:dyDescent="0.3">
      <c r="A308" s="7" t="str">
        <f t="shared" si="109"/>
        <v>WMT</v>
      </c>
      <c r="B308" s="13">
        <v>756</v>
      </c>
      <c r="D308" s="11" t="s">
        <v>32</v>
      </c>
      <c r="E308" s="11" t="s">
        <v>26</v>
      </c>
      <c r="F308" s="13">
        <v>28.6</v>
      </c>
      <c r="G308" s="13">
        <f>+B310/1000*F308</f>
        <v>21.4918704</v>
      </c>
      <c r="H308" s="12">
        <f>+MAX(0,(F308-18)/F308)</f>
        <v>0.37062937062937068</v>
      </c>
      <c r="I308" s="13">
        <f t="shared" si="110"/>
        <v>7.9655184000000014</v>
      </c>
      <c r="J308" s="13">
        <f>+$M$1</f>
        <v>1569</v>
      </c>
      <c r="K308" s="13">
        <f t="shared" si="111"/>
        <v>14</v>
      </c>
      <c r="L308" s="13">
        <f t="shared" si="112"/>
        <v>1555</v>
      </c>
      <c r="M308" s="13">
        <f t="shared" si="113"/>
        <v>398.23140003435253</v>
      </c>
      <c r="O308" s="7"/>
      <c r="P308" s="11"/>
      <c r="Q308" s="11"/>
    </row>
    <row r="309" spans="1:17" x14ac:dyDescent="0.3">
      <c r="A309" s="7" t="str">
        <f t="shared" si="109"/>
        <v>Moisture</v>
      </c>
      <c r="B309" s="15">
        <v>6.0000000000000001E-3</v>
      </c>
      <c r="D309" s="11"/>
      <c r="E309" s="11"/>
      <c r="F309" s="11"/>
      <c r="G309" s="13"/>
      <c r="H309" s="11"/>
      <c r="I309" s="11"/>
      <c r="J309" s="13"/>
      <c r="K309" s="13"/>
      <c r="L309" s="13"/>
      <c r="M309" s="13"/>
      <c r="O309" s="7"/>
      <c r="P309" s="11"/>
      <c r="Q309" s="11"/>
    </row>
    <row r="310" spans="1:17" x14ac:dyDescent="0.3">
      <c r="A310" s="7" t="str">
        <f t="shared" si="109"/>
        <v>DMT</v>
      </c>
      <c r="B310" s="13">
        <f>+B308*(1-B309)</f>
        <v>751.46399999999994</v>
      </c>
      <c r="D310" s="11"/>
      <c r="E310" s="11"/>
      <c r="F310" s="11"/>
      <c r="G310" s="13"/>
      <c r="H310" s="11"/>
      <c r="I310" s="11"/>
      <c r="J310" s="13"/>
      <c r="K310" s="13"/>
      <c r="L310" s="13"/>
      <c r="M310" s="13"/>
      <c r="O310" s="7" t="s">
        <v>35</v>
      </c>
      <c r="P310" s="13">
        <v>0</v>
      </c>
      <c r="Q310" s="13">
        <v>0</v>
      </c>
    </row>
    <row r="311" spans="1:17" x14ac:dyDescent="0.3">
      <c r="A311" s="7" t="str">
        <f>+A298</f>
        <v>Resultado USD / Kg</v>
      </c>
      <c r="B311" s="13">
        <f>+U313/B308</f>
        <v>0</v>
      </c>
      <c r="D311" s="11"/>
      <c r="E311" s="11"/>
      <c r="F311" s="11"/>
      <c r="G311" s="13"/>
      <c r="H311" s="11"/>
      <c r="I311" s="11"/>
      <c r="J311" s="13"/>
      <c r="K311" s="13"/>
      <c r="L311" s="13"/>
      <c r="M311" s="13"/>
      <c r="O311" s="7" t="s">
        <v>37</v>
      </c>
      <c r="P311" s="13">
        <v>0</v>
      </c>
      <c r="Q311" s="13">
        <v>0</v>
      </c>
    </row>
    <row r="312" spans="1:17" x14ac:dyDescent="0.3">
      <c r="A312" s="18" t="s">
        <v>43</v>
      </c>
      <c r="B312" s="13"/>
      <c r="D312" s="11"/>
      <c r="E312" s="11"/>
      <c r="F312" s="11"/>
      <c r="G312" s="13"/>
      <c r="H312" s="11"/>
      <c r="I312" s="11"/>
      <c r="J312" s="13"/>
      <c r="K312" s="13"/>
      <c r="L312" s="13"/>
      <c r="M312" s="13"/>
      <c r="O312" s="7"/>
      <c r="P312" s="11"/>
      <c r="Q312" s="11"/>
    </row>
    <row r="313" spans="1:17" x14ac:dyDescent="0.3">
      <c r="D313" s="11"/>
      <c r="E313" s="11"/>
      <c r="F313" s="11"/>
      <c r="G313" s="13"/>
      <c r="H313" s="11"/>
      <c r="I313" s="11"/>
      <c r="J313" s="13"/>
      <c r="K313" s="13"/>
      <c r="L313" s="13"/>
      <c r="M313" s="13"/>
      <c r="O313" s="7"/>
      <c r="P313" s="11"/>
      <c r="Q313" s="11"/>
    </row>
    <row r="315" spans="1:17" x14ac:dyDescent="0.3">
      <c r="A315" s="6" t="s">
        <v>5</v>
      </c>
      <c r="B315" s="6"/>
      <c r="D315" s="6" t="s">
        <v>6</v>
      </c>
      <c r="E315" s="6"/>
      <c r="F315" s="6"/>
      <c r="G315" s="6"/>
      <c r="H315" s="6"/>
      <c r="I315" s="6"/>
      <c r="J315" s="6"/>
      <c r="K315" s="6"/>
      <c r="L315" s="6"/>
      <c r="M315" s="6"/>
      <c r="O315" s="6" t="s">
        <v>7</v>
      </c>
      <c r="P315" s="6"/>
      <c r="Q315" s="6"/>
    </row>
    <row r="316" spans="1:17" x14ac:dyDescent="0.3">
      <c r="A316" s="7" t="str">
        <f>+A303</f>
        <v>Arrival date</v>
      </c>
      <c r="B316" s="8">
        <v>45854</v>
      </c>
      <c r="D316" s="6" t="s">
        <v>9</v>
      </c>
      <c r="E316" s="6"/>
      <c r="F316" s="6"/>
      <c r="G316" s="9" t="s">
        <v>10</v>
      </c>
      <c r="H316" s="9" t="s">
        <v>11</v>
      </c>
      <c r="I316" s="9" t="s">
        <v>12</v>
      </c>
      <c r="J316" s="9" t="s">
        <v>13</v>
      </c>
      <c r="K316" s="9" t="s">
        <v>14</v>
      </c>
      <c r="L316" s="9" t="s">
        <v>15</v>
      </c>
      <c r="M316" s="9" t="s">
        <v>16</v>
      </c>
      <c r="N316" s="10"/>
      <c r="O316" s="9" t="s">
        <v>17</v>
      </c>
      <c r="P316" s="9" t="s">
        <v>18</v>
      </c>
      <c r="Q316" s="9" t="s">
        <v>16</v>
      </c>
    </row>
    <row r="317" spans="1:17" x14ac:dyDescent="0.3">
      <c r="A317" s="7" t="str">
        <f t="shared" ref="A317:A323" si="114">+A304</f>
        <v>Receptive date</v>
      </c>
      <c r="B317" s="8">
        <f>+B316</f>
        <v>45854</v>
      </c>
      <c r="D317" s="11" t="s">
        <v>20</v>
      </c>
      <c r="E317" s="11" t="s">
        <v>21</v>
      </c>
      <c r="F317" s="12">
        <v>0.41099999999999998</v>
      </c>
      <c r="G317" s="13">
        <f>+F317*B323</f>
        <v>9.0419999999999998</v>
      </c>
      <c r="H317" s="12">
        <f>+IF(F317&gt;=20,(F317-3%)/F317,IF(F317&gt;=23,(F317-5.16%)/F317,(F317-3%)/F317))</f>
        <v>0.92700729927007308</v>
      </c>
      <c r="I317" s="13">
        <f>+G317*H317</f>
        <v>8.3820000000000014</v>
      </c>
      <c r="J317" s="13">
        <f>+$G$1</f>
        <v>11803.79</v>
      </c>
      <c r="K317" s="13">
        <f>+K304</f>
        <v>300</v>
      </c>
      <c r="L317" s="13">
        <f>+J317-K317</f>
        <v>11503.79</v>
      </c>
      <c r="M317" s="13">
        <f>+I317*L317/1000</f>
        <v>96.424767780000025</v>
      </c>
      <c r="O317" s="7" t="s">
        <v>22</v>
      </c>
      <c r="P317" s="14" t="s">
        <v>23</v>
      </c>
      <c r="Q317" s="17">
        <f>600*B323/1000</f>
        <v>13.2</v>
      </c>
    </row>
    <row r="318" spans="1:17" x14ac:dyDescent="0.3">
      <c r="A318" s="7" t="str">
        <f t="shared" si="114"/>
        <v>Customer lot No.</v>
      </c>
      <c r="B318" s="14" t="s">
        <v>64</v>
      </c>
      <c r="D318" s="11" t="s">
        <v>25</v>
      </c>
      <c r="E318" s="11" t="s">
        <v>26</v>
      </c>
      <c r="F318" s="13">
        <v>1119.3</v>
      </c>
      <c r="G318" s="13">
        <f>+B323/1000*F318</f>
        <v>24.624599999999997</v>
      </c>
      <c r="H318" s="12">
        <f>+MIN(0.96,(F318-7)/F318)</f>
        <v>0.96</v>
      </c>
      <c r="I318" s="13">
        <f t="shared" ref="I318:I321" si="115">+G318*H318</f>
        <v>23.639615999999997</v>
      </c>
      <c r="J318" s="13">
        <f>+$I$1</f>
        <v>4500</v>
      </c>
      <c r="K318" s="13">
        <f t="shared" ref="K318:K321" si="116">+K305</f>
        <v>5</v>
      </c>
      <c r="L318" s="13">
        <f t="shared" ref="L318:L321" si="117">+J318-K318</f>
        <v>4495</v>
      </c>
      <c r="M318" s="13">
        <f>+I318*L318/31.1034768</f>
        <v>3416.340706965595</v>
      </c>
      <c r="O318" s="7" t="s">
        <v>27</v>
      </c>
      <c r="P318" s="11">
        <v>100</v>
      </c>
      <c r="Q318" s="11">
        <f>+B321*P318/1000</f>
        <v>2.2000000000000002</v>
      </c>
    </row>
    <row r="319" spans="1:17" x14ac:dyDescent="0.3">
      <c r="A319" s="7" t="str">
        <f t="shared" si="114"/>
        <v>Lot No. (JX)</v>
      </c>
      <c r="B319" s="11">
        <v>1543</v>
      </c>
      <c r="D319" s="11" t="s">
        <v>29</v>
      </c>
      <c r="E319" s="11" t="s">
        <v>26</v>
      </c>
      <c r="F319" s="13">
        <v>38</v>
      </c>
      <c r="G319" s="13">
        <f>+B323/1000*F319</f>
        <v>0.83599999999999997</v>
      </c>
      <c r="H319" s="12">
        <f>+MIN(0.95,MAX(0,(F319-100)/F319))</f>
        <v>0</v>
      </c>
      <c r="I319" s="13">
        <f t="shared" si="115"/>
        <v>0</v>
      </c>
      <c r="J319" s="13">
        <f>+$K$1</f>
        <v>64.34</v>
      </c>
      <c r="K319" s="13">
        <f t="shared" si="116"/>
        <v>0.5</v>
      </c>
      <c r="L319" s="13">
        <f t="shared" si="117"/>
        <v>63.84</v>
      </c>
      <c r="M319" s="13">
        <f t="shared" ref="M319:M321" si="118">+I319*L319/31.1034768</f>
        <v>0</v>
      </c>
      <c r="O319" s="7"/>
      <c r="P319" s="11"/>
      <c r="Q319" s="11"/>
    </row>
    <row r="320" spans="1:17" x14ac:dyDescent="0.3">
      <c r="A320" s="7"/>
      <c r="B320" s="11"/>
      <c r="D320" s="11" t="s">
        <v>30</v>
      </c>
      <c r="E320" s="11" t="s">
        <v>26</v>
      </c>
      <c r="F320" s="13"/>
      <c r="G320" s="13"/>
      <c r="H320" s="11"/>
      <c r="I320" s="13">
        <f t="shared" si="115"/>
        <v>0</v>
      </c>
      <c r="J320" s="13">
        <v>0</v>
      </c>
      <c r="K320" s="13">
        <f t="shared" si="116"/>
        <v>0</v>
      </c>
      <c r="L320" s="13">
        <f t="shared" si="117"/>
        <v>0</v>
      </c>
      <c r="M320" s="13">
        <f t="shared" si="118"/>
        <v>0</v>
      </c>
      <c r="O320" s="7"/>
      <c r="P320" s="11"/>
      <c r="Q320" s="11"/>
    </row>
    <row r="321" spans="1:17" x14ac:dyDescent="0.3">
      <c r="A321" s="7" t="str">
        <f t="shared" si="114"/>
        <v>WMT</v>
      </c>
      <c r="B321" s="13">
        <v>22</v>
      </c>
      <c r="D321" s="11" t="s">
        <v>32</v>
      </c>
      <c r="E321" s="11" t="s">
        <v>26</v>
      </c>
      <c r="F321" s="13">
        <v>24.5</v>
      </c>
      <c r="G321" s="13">
        <f>+B323/1000*F321</f>
        <v>0.53899999999999992</v>
      </c>
      <c r="H321" s="12">
        <f>+MAX(0,(F321-18)/F321)</f>
        <v>0.26530612244897961</v>
      </c>
      <c r="I321" s="13">
        <f t="shared" si="115"/>
        <v>0.14299999999999999</v>
      </c>
      <c r="J321" s="13">
        <f>+$M$1</f>
        <v>1569</v>
      </c>
      <c r="K321" s="13">
        <f t="shared" si="116"/>
        <v>14</v>
      </c>
      <c r="L321" s="13">
        <f t="shared" si="117"/>
        <v>1555</v>
      </c>
      <c r="M321" s="13">
        <f t="shared" si="118"/>
        <v>7.1492007607329606</v>
      </c>
      <c r="O321" s="7"/>
      <c r="P321" s="11"/>
      <c r="Q321" s="11"/>
    </row>
    <row r="322" spans="1:17" x14ac:dyDescent="0.3">
      <c r="A322" s="7" t="str">
        <f t="shared" si="114"/>
        <v>Moisture</v>
      </c>
      <c r="B322" s="15">
        <v>0</v>
      </c>
      <c r="D322" s="11"/>
      <c r="E322" s="11"/>
      <c r="F322" s="11"/>
      <c r="G322" s="13"/>
      <c r="H322" s="11"/>
      <c r="I322" s="11"/>
      <c r="J322" s="13"/>
      <c r="K322" s="13"/>
      <c r="L322" s="13"/>
      <c r="M322" s="13"/>
      <c r="O322" s="7"/>
      <c r="P322" s="11"/>
      <c r="Q322" s="11"/>
    </row>
    <row r="323" spans="1:17" x14ac:dyDescent="0.3">
      <c r="A323" s="7" t="str">
        <f t="shared" si="114"/>
        <v>DMT</v>
      </c>
      <c r="B323" s="13">
        <f>+B321*(1-B322)</f>
        <v>22</v>
      </c>
      <c r="D323" s="11"/>
      <c r="E323" s="11"/>
      <c r="F323" s="11"/>
      <c r="G323" s="13"/>
      <c r="H323" s="11"/>
      <c r="I323" s="11"/>
      <c r="J323" s="13"/>
      <c r="K323" s="13"/>
      <c r="L323" s="13"/>
      <c r="M323" s="13"/>
      <c r="O323" s="7" t="s">
        <v>35</v>
      </c>
      <c r="P323" s="13">
        <v>0</v>
      </c>
      <c r="Q323" s="13">
        <v>0</v>
      </c>
    </row>
    <row r="324" spans="1:17" x14ac:dyDescent="0.3">
      <c r="A324" s="7" t="str">
        <f>+A311</f>
        <v>Resultado USD / Kg</v>
      </c>
      <c r="B324" s="13">
        <f>+U326/B321</f>
        <v>0</v>
      </c>
      <c r="D324" s="11"/>
      <c r="E324" s="11"/>
      <c r="F324" s="11"/>
      <c r="G324" s="13"/>
      <c r="H324" s="11"/>
      <c r="I324" s="11"/>
      <c r="J324" s="13"/>
      <c r="K324" s="13"/>
      <c r="L324" s="13"/>
      <c r="M324" s="13"/>
      <c r="O324" s="7" t="s">
        <v>37</v>
      </c>
      <c r="P324" s="13">
        <v>0</v>
      </c>
      <c r="Q324" s="13">
        <v>0</v>
      </c>
    </row>
    <row r="325" spans="1:17" x14ac:dyDescent="0.3">
      <c r="A325" s="18" t="s">
        <v>54</v>
      </c>
      <c r="B325" s="13"/>
      <c r="D325" s="11"/>
      <c r="E325" s="11"/>
      <c r="F325" s="11"/>
      <c r="G325" s="13"/>
      <c r="H325" s="11"/>
      <c r="I325" s="11"/>
      <c r="J325" s="13"/>
      <c r="K325" s="13"/>
      <c r="L325" s="13"/>
      <c r="M325" s="13"/>
      <c r="O325" s="7"/>
      <c r="P325" s="11"/>
      <c r="Q325" s="11"/>
    </row>
    <row r="326" spans="1:17" x14ac:dyDescent="0.3">
      <c r="D326" s="11"/>
      <c r="E326" s="11"/>
      <c r="F326" s="11"/>
      <c r="G326" s="13"/>
      <c r="H326" s="11"/>
      <c r="I326" s="11"/>
      <c r="J326" s="13"/>
      <c r="K326" s="13"/>
      <c r="L326" s="13"/>
      <c r="M326" s="13"/>
      <c r="O326" s="7"/>
      <c r="P326" s="11"/>
      <c r="Q326" s="11"/>
    </row>
    <row r="328" spans="1:17" x14ac:dyDescent="0.3">
      <c r="A328" s="6" t="s">
        <v>5</v>
      </c>
      <c r="B328" s="6"/>
      <c r="D328" s="6" t="s">
        <v>6</v>
      </c>
      <c r="E328" s="6"/>
      <c r="F328" s="6"/>
      <c r="G328" s="6"/>
      <c r="H328" s="6"/>
      <c r="I328" s="6"/>
      <c r="J328" s="6"/>
      <c r="K328" s="6"/>
      <c r="L328" s="6"/>
      <c r="M328" s="6"/>
      <c r="O328" s="6" t="s">
        <v>7</v>
      </c>
      <c r="P328" s="6"/>
      <c r="Q328" s="6"/>
    </row>
    <row r="329" spans="1:17" x14ac:dyDescent="0.3">
      <c r="A329" s="7" t="str">
        <f>+A316</f>
        <v>Arrival date</v>
      </c>
      <c r="B329" s="8">
        <v>45854</v>
      </c>
      <c r="D329" s="6" t="s">
        <v>9</v>
      </c>
      <c r="E329" s="6"/>
      <c r="F329" s="6"/>
      <c r="G329" s="9" t="s">
        <v>10</v>
      </c>
      <c r="H329" s="9" t="s">
        <v>11</v>
      </c>
      <c r="I329" s="9" t="s">
        <v>12</v>
      </c>
      <c r="J329" s="9" t="s">
        <v>13</v>
      </c>
      <c r="K329" s="9" t="s">
        <v>14</v>
      </c>
      <c r="L329" s="9" t="s">
        <v>15</v>
      </c>
      <c r="M329" s="9" t="s">
        <v>16</v>
      </c>
      <c r="N329" s="10"/>
      <c r="O329" s="9" t="s">
        <v>17</v>
      </c>
      <c r="P329" s="9" t="s">
        <v>18</v>
      </c>
      <c r="Q329" s="9" t="s">
        <v>16</v>
      </c>
    </row>
    <row r="330" spans="1:17" x14ac:dyDescent="0.3">
      <c r="A330" s="7" t="str">
        <f t="shared" ref="A330:A336" si="119">+A317</f>
        <v>Receptive date</v>
      </c>
      <c r="B330" s="8">
        <f>+B329</f>
        <v>45854</v>
      </c>
      <c r="D330" s="11" t="s">
        <v>20</v>
      </c>
      <c r="E330" s="11" t="s">
        <v>21</v>
      </c>
      <c r="F330" s="12">
        <v>0.1482</v>
      </c>
      <c r="G330" s="13">
        <f>+F330*B336</f>
        <v>2.8101683999999998</v>
      </c>
      <c r="H330" s="12">
        <f>+IF(F330&gt;=20,(F330-3%)/F330,IF(F330&gt;=23,(F330-5.16%)/F330,(F330-3%)/F330))</f>
        <v>0.79757085020242913</v>
      </c>
      <c r="I330" s="13">
        <f>+G330*H330</f>
        <v>2.2413083999999999</v>
      </c>
      <c r="J330" s="13">
        <f>+$G$1</f>
        <v>11803.79</v>
      </c>
      <c r="K330" s="13">
        <f>+K317</f>
        <v>300</v>
      </c>
      <c r="L330" s="13">
        <f>+J330-K330</f>
        <v>11503.79</v>
      </c>
      <c r="M330" s="13">
        <f>+I330*L330/1000</f>
        <v>25.783541158836002</v>
      </c>
      <c r="O330" s="7" t="s">
        <v>22</v>
      </c>
      <c r="P330" s="14" t="s">
        <v>23</v>
      </c>
      <c r="Q330" s="17">
        <f>600*B336/1000</f>
        <v>11.3772</v>
      </c>
    </row>
    <row r="331" spans="1:17" x14ac:dyDescent="0.3">
      <c r="A331" s="7" t="str">
        <f t="shared" si="119"/>
        <v>Customer lot No.</v>
      </c>
      <c r="B331" s="14" t="s">
        <v>65</v>
      </c>
      <c r="D331" s="11" t="s">
        <v>25</v>
      </c>
      <c r="E331" s="11" t="s">
        <v>26</v>
      </c>
      <c r="F331" s="13">
        <v>3652.6</v>
      </c>
      <c r="G331" s="13">
        <f>+B336/1000*F331</f>
        <v>69.260601199999996</v>
      </c>
      <c r="H331" s="12">
        <f>+MIN(0.96,(F331-7)/F331)</f>
        <v>0.96</v>
      </c>
      <c r="I331" s="13">
        <f t="shared" ref="I331:I334" si="120">+G331*H331</f>
        <v>66.490177152000001</v>
      </c>
      <c r="J331" s="13">
        <f>+$I$1</f>
        <v>4500</v>
      </c>
      <c r="K331" s="13">
        <f t="shared" ref="K331:K334" si="121">+K318</f>
        <v>5</v>
      </c>
      <c r="L331" s="13">
        <f t="shared" ref="L331:L334" si="122">+J331-K331</f>
        <v>4495</v>
      </c>
      <c r="M331" s="13">
        <f>+I331*L331/31.1034768</f>
        <v>9609.0012129525021</v>
      </c>
      <c r="O331" s="7" t="s">
        <v>27</v>
      </c>
      <c r="P331" s="11">
        <v>100</v>
      </c>
      <c r="Q331" s="11">
        <f>+B334*P331/1000</f>
        <v>1.9</v>
      </c>
    </row>
    <row r="332" spans="1:17" x14ac:dyDescent="0.3">
      <c r="A332" s="7" t="str">
        <f t="shared" si="119"/>
        <v>Lot No. (JX)</v>
      </c>
      <c r="B332" s="11">
        <v>1544</v>
      </c>
      <c r="D332" s="11" t="s">
        <v>29</v>
      </c>
      <c r="E332" s="11" t="s">
        <v>26</v>
      </c>
      <c r="F332" s="13">
        <v>5908</v>
      </c>
      <c r="G332" s="13">
        <f>+B336/1000*F332</f>
        <v>112.027496</v>
      </c>
      <c r="H332" s="12">
        <f>+MIN(0.95,MAX(0,(F332-100)/F332))</f>
        <v>0.95</v>
      </c>
      <c r="I332" s="13">
        <f t="shared" si="120"/>
        <v>106.4261212</v>
      </c>
      <c r="J332" s="13">
        <f>+$K$1</f>
        <v>64.34</v>
      </c>
      <c r="K332" s="13">
        <f t="shared" si="121"/>
        <v>0.5</v>
      </c>
      <c r="L332" s="13">
        <f t="shared" si="122"/>
        <v>63.84</v>
      </c>
      <c r="M332" s="13">
        <f t="shared" ref="M332:M334" si="123">+I332*L332/31.1034768</f>
        <v>218.44000338277297</v>
      </c>
      <c r="O332" s="7"/>
      <c r="P332" s="11"/>
      <c r="Q332" s="11"/>
    </row>
    <row r="333" spans="1:17" x14ac:dyDescent="0.3">
      <c r="A333" s="7"/>
      <c r="B333" s="11"/>
      <c r="D333" s="11" t="s">
        <v>30</v>
      </c>
      <c r="E333" s="11" t="s">
        <v>26</v>
      </c>
      <c r="F333" s="13"/>
      <c r="G333" s="13"/>
      <c r="H333" s="11"/>
      <c r="I333" s="13">
        <f t="shared" si="120"/>
        <v>0</v>
      </c>
      <c r="J333" s="13">
        <v>0</v>
      </c>
      <c r="K333" s="13">
        <f t="shared" si="121"/>
        <v>0</v>
      </c>
      <c r="L333" s="13">
        <f t="shared" si="122"/>
        <v>0</v>
      </c>
      <c r="M333" s="13">
        <f t="shared" si="123"/>
        <v>0</v>
      </c>
      <c r="O333" s="7"/>
      <c r="P333" s="11"/>
      <c r="Q333" s="11"/>
    </row>
    <row r="334" spans="1:17" x14ac:dyDescent="0.3">
      <c r="A334" s="7" t="str">
        <f t="shared" si="119"/>
        <v>WMT</v>
      </c>
      <c r="B334" s="13">
        <v>19</v>
      </c>
      <c r="D334" s="11" t="s">
        <v>32</v>
      </c>
      <c r="E334" s="11" t="s">
        <v>26</v>
      </c>
      <c r="F334" s="13">
        <v>29</v>
      </c>
      <c r="G334" s="13">
        <f>+B336/1000*F334</f>
        <v>0.549898</v>
      </c>
      <c r="H334" s="12">
        <f>+MAX(0,(F334-18)/F334)</f>
        <v>0.37931034482758619</v>
      </c>
      <c r="I334" s="13">
        <f t="shared" si="120"/>
        <v>0.20858199999999999</v>
      </c>
      <c r="J334" s="13">
        <f>+$M$1</f>
        <v>1569</v>
      </c>
      <c r="K334" s="13">
        <f t="shared" si="121"/>
        <v>14</v>
      </c>
      <c r="L334" s="13">
        <f t="shared" si="122"/>
        <v>1555</v>
      </c>
      <c r="M334" s="13">
        <f t="shared" si="123"/>
        <v>10.427934217309108</v>
      </c>
      <c r="O334" s="7"/>
      <c r="P334" s="11"/>
      <c r="Q334" s="11"/>
    </row>
    <row r="335" spans="1:17" x14ac:dyDescent="0.3">
      <c r="A335" s="7" t="str">
        <f t="shared" si="119"/>
        <v>Moisture</v>
      </c>
      <c r="B335" s="15">
        <v>2E-3</v>
      </c>
      <c r="D335" s="11"/>
      <c r="E335" s="11"/>
      <c r="F335" s="11"/>
      <c r="G335" s="13"/>
      <c r="H335" s="11"/>
      <c r="I335" s="11"/>
      <c r="J335" s="13"/>
      <c r="K335" s="13"/>
      <c r="L335" s="13"/>
      <c r="M335" s="13"/>
      <c r="O335" s="7"/>
      <c r="P335" s="11"/>
      <c r="Q335" s="11"/>
    </row>
    <row r="336" spans="1:17" x14ac:dyDescent="0.3">
      <c r="A336" s="7" t="str">
        <f t="shared" si="119"/>
        <v>DMT</v>
      </c>
      <c r="B336" s="13">
        <f>+B334*(1-B335)</f>
        <v>18.962</v>
      </c>
      <c r="D336" s="11"/>
      <c r="E336" s="11"/>
      <c r="F336" s="11"/>
      <c r="G336" s="13"/>
      <c r="H336" s="11"/>
      <c r="I336" s="11"/>
      <c r="J336" s="13"/>
      <c r="K336" s="13"/>
      <c r="L336" s="13"/>
      <c r="M336" s="13"/>
      <c r="O336" s="7" t="s">
        <v>35</v>
      </c>
      <c r="P336" s="13">
        <v>0</v>
      </c>
      <c r="Q336" s="13">
        <v>0</v>
      </c>
    </row>
    <row r="337" spans="1:17" x14ac:dyDescent="0.3">
      <c r="A337" s="7" t="str">
        <f>+A324</f>
        <v>Resultado USD / Kg</v>
      </c>
      <c r="B337" s="13">
        <f>+U339/B334</f>
        <v>0</v>
      </c>
      <c r="D337" s="11"/>
      <c r="E337" s="11"/>
      <c r="F337" s="11"/>
      <c r="G337" s="13"/>
      <c r="H337" s="11"/>
      <c r="I337" s="11"/>
      <c r="J337" s="13"/>
      <c r="K337" s="13"/>
      <c r="L337" s="13"/>
      <c r="M337" s="13"/>
      <c r="O337" s="7" t="s">
        <v>37</v>
      </c>
      <c r="P337" s="13">
        <v>0</v>
      </c>
      <c r="Q337" s="13">
        <v>0</v>
      </c>
    </row>
    <row r="338" spans="1:17" x14ac:dyDescent="0.3">
      <c r="A338" s="16" t="s">
        <v>53</v>
      </c>
      <c r="B338" s="13"/>
      <c r="D338" s="11"/>
      <c r="E338" s="11"/>
      <c r="F338" s="11"/>
      <c r="G338" s="13"/>
      <c r="H338" s="11"/>
      <c r="I338" s="11"/>
      <c r="J338" s="13"/>
      <c r="K338" s="13"/>
      <c r="L338" s="13"/>
      <c r="M338" s="13"/>
      <c r="O338" s="7"/>
      <c r="P338" s="11"/>
      <c r="Q338" s="11"/>
    </row>
    <row r="339" spans="1:17" x14ac:dyDescent="0.3">
      <c r="D339" s="11"/>
      <c r="E339" s="11"/>
      <c r="F339" s="11"/>
      <c r="G339" s="13"/>
      <c r="H339" s="11"/>
      <c r="I339" s="11"/>
      <c r="J339" s="13"/>
      <c r="K339" s="13"/>
      <c r="L339" s="13"/>
      <c r="M339" s="13"/>
      <c r="O339" s="7"/>
      <c r="P339" s="11"/>
      <c r="Q339" s="11"/>
    </row>
    <row r="341" spans="1:17" x14ac:dyDescent="0.3">
      <c r="A341" s="6" t="s">
        <v>5</v>
      </c>
      <c r="B341" s="6"/>
      <c r="D341" s="6" t="s">
        <v>6</v>
      </c>
      <c r="E341" s="6"/>
      <c r="F341" s="6"/>
      <c r="G341" s="6"/>
      <c r="H341" s="6"/>
      <c r="I341" s="6"/>
      <c r="J341" s="6"/>
      <c r="K341" s="6"/>
      <c r="L341" s="6"/>
      <c r="M341" s="6"/>
      <c r="O341" s="6" t="s">
        <v>7</v>
      </c>
      <c r="P341" s="6"/>
      <c r="Q341" s="6"/>
    </row>
    <row r="342" spans="1:17" x14ac:dyDescent="0.3">
      <c r="A342" s="7" t="str">
        <f>+A329</f>
        <v>Arrival date</v>
      </c>
      <c r="B342" s="8">
        <v>45854</v>
      </c>
      <c r="D342" s="6" t="s">
        <v>9</v>
      </c>
      <c r="E342" s="6"/>
      <c r="F342" s="6"/>
      <c r="G342" s="9" t="s">
        <v>10</v>
      </c>
      <c r="H342" s="9" t="s">
        <v>11</v>
      </c>
      <c r="I342" s="9" t="s">
        <v>12</v>
      </c>
      <c r="J342" s="9" t="s">
        <v>13</v>
      </c>
      <c r="K342" s="9" t="s">
        <v>14</v>
      </c>
      <c r="L342" s="9" t="s">
        <v>15</v>
      </c>
      <c r="M342" s="9" t="s">
        <v>16</v>
      </c>
      <c r="N342" s="10"/>
      <c r="O342" s="9" t="s">
        <v>17</v>
      </c>
      <c r="P342" s="9" t="s">
        <v>18</v>
      </c>
      <c r="Q342" s="9" t="s">
        <v>16</v>
      </c>
    </row>
    <row r="343" spans="1:17" x14ac:dyDescent="0.3">
      <c r="A343" s="7" t="str">
        <f t="shared" ref="A343:A349" si="124">+A330</f>
        <v>Receptive date</v>
      </c>
      <c r="B343" s="8">
        <f>+B342</f>
        <v>45854</v>
      </c>
      <c r="D343" s="11" t="s">
        <v>20</v>
      </c>
      <c r="E343" s="11" t="s">
        <v>21</v>
      </c>
      <c r="F343" s="12">
        <v>0.86180000000000001</v>
      </c>
      <c r="G343" s="13">
        <f>+F343*B349</f>
        <v>25.802292000000001</v>
      </c>
      <c r="H343" s="12">
        <f>+IF(F343&gt;=20,(F343-3%)/F343,IF(F343&gt;=23,(F343-5.16%)/F343,(F343-3%)/F343))</f>
        <v>0.96518913901137149</v>
      </c>
      <c r="I343" s="13">
        <f>+G343*H343</f>
        <v>24.904091999999999</v>
      </c>
      <c r="J343" s="13">
        <f>+$G$1</f>
        <v>11803.79</v>
      </c>
      <c r="K343" s="13">
        <f>+K330</f>
        <v>300</v>
      </c>
      <c r="L343" s="13">
        <f>+J343-K343</f>
        <v>11503.79</v>
      </c>
      <c r="M343" s="13">
        <f>+I343*L343/1000</f>
        <v>286.49144450868005</v>
      </c>
      <c r="O343" s="7" t="s">
        <v>22</v>
      </c>
      <c r="P343" s="14" t="s">
        <v>23</v>
      </c>
      <c r="Q343" s="17">
        <f>600*B349/1000</f>
        <v>17.963999999999999</v>
      </c>
    </row>
    <row r="344" spans="1:17" x14ac:dyDescent="0.3">
      <c r="A344" s="7" t="str">
        <f t="shared" si="124"/>
        <v>Customer lot No.</v>
      </c>
      <c r="B344" s="14" t="s">
        <v>66</v>
      </c>
      <c r="D344" s="11" t="s">
        <v>25</v>
      </c>
      <c r="E344" s="11" t="s">
        <v>26</v>
      </c>
      <c r="F344" s="13">
        <v>289.5</v>
      </c>
      <c r="G344" s="13">
        <f>+B349/1000*F344</f>
        <v>8.6676300000000008</v>
      </c>
      <c r="H344" s="12">
        <f>+MIN(0.96,(F344-7)/F344)</f>
        <v>0.96</v>
      </c>
      <c r="I344" s="13">
        <f t="shared" ref="I344:I347" si="125">+G344*H344</f>
        <v>8.3209248000000002</v>
      </c>
      <c r="J344" s="13">
        <f>+$I$1</f>
        <v>4500</v>
      </c>
      <c r="K344" s="13">
        <f t="shared" ref="K344:K347" si="126">+K331</f>
        <v>5</v>
      </c>
      <c r="L344" s="13">
        <f t="shared" ref="L344:L347" si="127">+J344-K344</f>
        <v>4495</v>
      </c>
      <c r="M344" s="13">
        <f>+I344*L344/31.1034768</f>
        <v>1202.5201303540446</v>
      </c>
      <c r="O344" s="7" t="s">
        <v>27</v>
      </c>
      <c r="P344" s="11">
        <v>100</v>
      </c>
      <c r="Q344" s="11">
        <f>+B347*P344/1000</f>
        <v>3</v>
      </c>
    </row>
    <row r="345" spans="1:17" x14ac:dyDescent="0.3">
      <c r="A345" s="7" t="str">
        <f t="shared" si="124"/>
        <v>Lot No. (JX)</v>
      </c>
      <c r="B345" s="11">
        <v>1545</v>
      </c>
      <c r="D345" s="11" t="s">
        <v>29</v>
      </c>
      <c r="E345" s="11" t="s">
        <v>26</v>
      </c>
      <c r="F345" s="13">
        <v>39</v>
      </c>
      <c r="G345" s="13">
        <f>+B349/1000*F345</f>
        <v>1.1676600000000001</v>
      </c>
      <c r="H345" s="12">
        <f>+MIN(0.95,MAX(0,(F345-100)/F345))</f>
        <v>0</v>
      </c>
      <c r="I345" s="13">
        <f t="shared" si="125"/>
        <v>0</v>
      </c>
      <c r="J345" s="13">
        <f>+$K$1</f>
        <v>64.34</v>
      </c>
      <c r="K345" s="13">
        <f t="shared" si="126"/>
        <v>0.5</v>
      </c>
      <c r="L345" s="13">
        <f t="shared" si="127"/>
        <v>63.84</v>
      </c>
      <c r="M345" s="13">
        <f t="shared" ref="M345:M347" si="128">+I345*L345/31.1034768</f>
        <v>0</v>
      </c>
      <c r="O345" s="7"/>
      <c r="P345" s="11"/>
      <c r="Q345" s="11"/>
    </row>
    <row r="346" spans="1:17" x14ac:dyDescent="0.3">
      <c r="A346" s="7"/>
      <c r="B346" s="11"/>
      <c r="D346" s="11" t="s">
        <v>30</v>
      </c>
      <c r="E346" s="11" t="s">
        <v>26</v>
      </c>
      <c r="F346" s="13"/>
      <c r="G346" s="13"/>
      <c r="H346" s="11"/>
      <c r="I346" s="13">
        <f t="shared" si="125"/>
        <v>0</v>
      </c>
      <c r="J346" s="13">
        <v>0</v>
      </c>
      <c r="K346" s="13">
        <f t="shared" si="126"/>
        <v>0</v>
      </c>
      <c r="L346" s="13">
        <f t="shared" si="127"/>
        <v>0</v>
      </c>
      <c r="M346" s="13">
        <f t="shared" si="128"/>
        <v>0</v>
      </c>
      <c r="O346" s="7"/>
      <c r="P346" s="11"/>
      <c r="Q346" s="11"/>
    </row>
    <row r="347" spans="1:17" x14ac:dyDescent="0.3">
      <c r="A347" s="7" t="str">
        <f t="shared" si="124"/>
        <v>WMT</v>
      </c>
      <c r="B347" s="13">
        <v>30</v>
      </c>
      <c r="D347" s="11" t="s">
        <v>32</v>
      </c>
      <c r="E347" s="11" t="s">
        <v>26</v>
      </c>
      <c r="F347" s="13">
        <v>5.9</v>
      </c>
      <c r="G347" s="13">
        <f>+B349/1000*F347</f>
        <v>0.17664600000000003</v>
      </c>
      <c r="H347" s="12">
        <f>+MAX(0,(F347-18)/F347)</f>
        <v>0</v>
      </c>
      <c r="I347" s="13">
        <f t="shared" si="125"/>
        <v>0</v>
      </c>
      <c r="J347" s="13">
        <f>+$M$1</f>
        <v>1569</v>
      </c>
      <c r="K347" s="13">
        <f t="shared" si="126"/>
        <v>14</v>
      </c>
      <c r="L347" s="13">
        <f t="shared" si="127"/>
        <v>1555</v>
      </c>
      <c r="M347" s="13">
        <f t="shared" si="128"/>
        <v>0</v>
      </c>
      <c r="O347" s="7"/>
      <c r="P347" s="11"/>
      <c r="Q347" s="11"/>
    </row>
    <row r="348" spans="1:17" x14ac:dyDescent="0.3">
      <c r="A348" s="7" t="str">
        <f t="shared" si="124"/>
        <v>Moisture</v>
      </c>
      <c r="B348" s="15">
        <v>2E-3</v>
      </c>
      <c r="D348" s="11"/>
      <c r="E348" s="11"/>
      <c r="F348" s="11"/>
      <c r="G348" s="13"/>
      <c r="H348" s="11"/>
      <c r="I348" s="11"/>
      <c r="J348" s="13"/>
      <c r="K348" s="13"/>
      <c r="L348" s="13"/>
      <c r="M348" s="13"/>
      <c r="O348" s="7"/>
      <c r="P348" s="11"/>
      <c r="Q348" s="11"/>
    </row>
    <row r="349" spans="1:17" x14ac:dyDescent="0.3">
      <c r="A349" s="7" t="str">
        <f t="shared" si="124"/>
        <v>DMT</v>
      </c>
      <c r="B349" s="13">
        <f>+B347*(1-B348)</f>
        <v>29.94</v>
      </c>
      <c r="D349" s="11"/>
      <c r="E349" s="11"/>
      <c r="F349" s="11"/>
      <c r="G349" s="13"/>
      <c r="H349" s="11"/>
      <c r="I349" s="11"/>
      <c r="J349" s="13"/>
      <c r="K349" s="13"/>
      <c r="L349" s="13"/>
      <c r="M349" s="13"/>
      <c r="O349" s="7" t="s">
        <v>35</v>
      </c>
      <c r="P349" s="13">
        <v>0</v>
      </c>
      <c r="Q349" s="19">
        <v>260</v>
      </c>
    </row>
    <row r="350" spans="1:17" x14ac:dyDescent="0.3">
      <c r="A350" s="7" t="str">
        <f>+A337</f>
        <v>Resultado USD / Kg</v>
      </c>
      <c r="B350" s="13">
        <f>+U352/B347</f>
        <v>0</v>
      </c>
      <c r="D350" s="11"/>
      <c r="E350" s="11"/>
      <c r="F350" s="11"/>
      <c r="G350" s="13"/>
      <c r="H350" s="11"/>
      <c r="I350" s="11"/>
      <c r="J350" s="13"/>
      <c r="K350" s="13"/>
      <c r="L350" s="13"/>
      <c r="M350" s="13"/>
      <c r="O350" s="7" t="s">
        <v>37</v>
      </c>
      <c r="P350" s="13">
        <v>0</v>
      </c>
      <c r="Q350" s="13">
        <v>0</v>
      </c>
    </row>
    <row r="351" spans="1:17" x14ac:dyDescent="0.3">
      <c r="A351" s="18" t="s">
        <v>67</v>
      </c>
      <c r="B351" s="13"/>
      <c r="D351" s="11"/>
      <c r="E351" s="11"/>
      <c r="F351" s="11"/>
      <c r="G351" s="13"/>
      <c r="H351" s="11"/>
      <c r="I351" s="11"/>
      <c r="J351" s="13"/>
      <c r="K351" s="13"/>
      <c r="L351" s="13"/>
      <c r="M351" s="13"/>
      <c r="O351" s="7"/>
      <c r="P351" s="11"/>
      <c r="Q351" s="11"/>
    </row>
    <row r="352" spans="1:17" x14ac:dyDescent="0.3">
      <c r="D352" s="11"/>
      <c r="E352" s="11"/>
      <c r="F352" s="11"/>
      <c r="G352" s="13"/>
      <c r="H352" s="11"/>
      <c r="I352" s="11"/>
      <c r="J352" s="13"/>
      <c r="K352" s="13"/>
      <c r="L352" s="13"/>
      <c r="M352" s="13"/>
      <c r="O352" s="7"/>
      <c r="P352" s="11"/>
      <c r="Q352" s="11"/>
    </row>
    <row r="354" spans="1:17" x14ac:dyDescent="0.3">
      <c r="A354" s="6" t="s">
        <v>5</v>
      </c>
      <c r="B354" s="6"/>
      <c r="D354" s="6" t="s">
        <v>6</v>
      </c>
      <c r="E354" s="6"/>
      <c r="F354" s="6"/>
      <c r="G354" s="6"/>
      <c r="H354" s="6"/>
      <c r="I354" s="6"/>
      <c r="J354" s="6"/>
      <c r="K354" s="6"/>
      <c r="L354" s="6"/>
      <c r="M354" s="6"/>
      <c r="O354" s="6" t="s">
        <v>7</v>
      </c>
      <c r="P354" s="6"/>
      <c r="Q354" s="6"/>
    </row>
    <row r="355" spans="1:17" x14ac:dyDescent="0.3">
      <c r="A355" s="7" t="str">
        <f>+A342</f>
        <v>Arrival date</v>
      </c>
      <c r="B355" s="8">
        <v>45847</v>
      </c>
      <c r="D355" s="6" t="s">
        <v>9</v>
      </c>
      <c r="E355" s="6"/>
      <c r="F355" s="6"/>
      <c r="G355" s="9" t="s">
        <v>10</v>
      </c>
      <c r="H355" s="9" t="s">
        <v>11</v>
      </c>
      <c r="I355" s="9" t="s">
        <v>12</v>
      </c>
      <c r="J355" s="9" t="s">
        <v>13</v>
      </c>
      <c r="K355" s="9" t="s">
        <v>14</v>
      </c>
      <c r="L355" s="9" t="s">
        <v>15</v>
      </c>
      <c r="M355" s="9" t="s">
        <v>16</v>
      </c>
      <c r="N355" s="10"/>
      <c r="O355" s="9" t="s">
        <v>17</v>
      </c>
      <c r="P355" s="9" t="s">
        <v>18</v>
      </c>
      <c r="Q355" s="9" t="s">
        <v>16</v>
      </c>
    </row>
    <row r="356" spans="1:17" x14ac:dyDescent="0.3">
      <c r="A356" s="7" t="str">
        <f t="shared" ref="A356:A362" si="129">+A343</f>
        <v>Receptive date</v>
      </c>
      <c r="B356" s="8">
        <f>+B355</f>
        <v>45847</v>
      </c>
      <c r="D356" s="11" t="s">
        <v>20</v>
      </c>
      <c r="E356" s="11" t="s">
        <v>21</v>
      </c>
      <c r="F356" s="12">
        <v>0.22900000000000001</v>
      </c>
      <c r="G356" s="13">
        <f>+F356*B362</f>
        <v>782.01828300000011</v>
      </c>
      <c r="H356" s="12">
        <f>+IF(F356&gt;=20,(F356-3%)/F356,IF(F356&gt;=23,(F356-5.16%)/F356,(F356-3%)/F356))</f>
        <v>0.86899563318777295</v>
      </c>
      <c r="I356" s="13">
        <f>+G356*H356</f>
        <v>679.57047300000011</v>
      </c>
      <c r="J356" s="13">
        <f>+$G$1</f>
        <v>11803.79</v>
      </c>
      <c r="K356" s="13">
        <f>+K343</f>
        <v>300</v>
      </c>
      <c r="L356" s="13">
        <f>+J356-K356</f>
        <v>11503.79</v>
      </c>
      <c r="M356" s="13">
        <f>+I356*L356/1000</f>
        <v>7817.6360115926718</v>
      </c>
      <c r="O356" s="7" t="s">
        <v>22</v>
      </c>
      <c r="P356" s="14" t="s">
        <v>23</v>
      </c>
      <c r="Q356" s="17">
        <f>600*B362/1000</f>
        <v>2048.9562000000001</v>
      </c>
    </row>
    <row r="357" spans="1:17" x14ac:dyDescent="0.3">
      <c r="A357" s="7" t="str">
        <f t="shared" si="129"/>
        <v>Customer lot No.</v>
      </c>
      <c r="B357" s="14" t="s">
        <v>68</v>
      </c>
      <c r="D357" s="11" t="s">
        <v>25</v>
      </c>
      <c r="E357" s="11" t="s">
        <v>26</v>
      </c>
      <c r="F357" s="13">
        <v>169.3</v>
      </c>
      <c r="G357" s="13">
        <f>+B362/1000*F357</f>
        <v>578.1471411</v>
      </c>
      <c r="H357" s="12">
        <f>+MIN(0.96,(F357-7)/F357)</f>
        <v>0.95865327820437096</v>
      </c>
      <c r="I357" s="13">
        <f t="shared" ref="I357:I360" si="130">+G357*H357</f>
        <v>554.24265209999999</v>
      </c>
      <c r="J357" s="13">
        <f>+$I$1</f>
        <v>4500</v>
      </c>
      <c r="K357" s="13">
        <f t="shared" ref="K357:K360" si="131">+K344</f>
        <v>5</v>
      </c>
      <c r="L357" s="13">
        <f t="shared" ref="L357:L360" si="132">+J357-K357</f>
        <v>4495</v>
      </c>
      <c r="M357" s="13">
        <f>+I357*L357/31.1034768</f>
        <v>80097.821128135096</v>
      </c>
      <c r="O357" s="7" t="s">
        <v>27</v>
      </c>
      <c r="P357" s="11">
        <v>100</v>
      </c>
      <c r="Q357" s="11">
        <f>+B360*P357/1000</f>
        <v>343.9</v>
      </c>
    </row>
    <row r="358" spans="1:17" x14ac:dyDescent="0.3">
      <c r="A358" s="7" t="str">
        <f t="shared" si="129"/>
        <v>Lot No. (JX)</v>
      </c>
      <c r="B358" s="11">
        <v>666</v>
      </c>
      <c r="D358" s="11" t="s">
        <v>29</v>
      </c>
      <c r="E358" s="11" t="s">
        <v>26</v>
      </c>
      <c r="F358" s="13">
        <v>1108</v>
      </c>
      <c r="G358" s="13">
        <f>+B362/1000*F358</f>
        <v>3783.7391160000002</v>
      </c>
      <c r="H358" s="12">
        <f>+MIN(0.95,MAX(0,(F358-100)/F358))</f>
        <v>0.90974729241877261</v>
      </c>
      <c r="I358" s="13">
        <f t="shared" si="130"/>
        <v>3442.2464160000004</v>
      </c>
      <c r="J358" s="13">
        <f>+$K$1</f>
        <v>64.34</v>
      </c>
      <c r="K358" s="13">
        <f t="shared" si="131"/>
        <v>0.5</v>
      </c>
      <c r="L358" s="13">
        <f t="shared" si="132"/>
        <v>63.84</v>
      </c>
      <c r="M358" s="13">
        <f t="shared" ref="M358:M360" si="133">+I358*L358/31.1034768</f>
        <v>7065.2233707017613</v>
      </c>
      <c r="O358" s="7"/>
      <c r="P358" s="11"/>
      <c r="Q358" s="11"/>
    </row>
    <row r="359" spans="1:17" x14ac:dyDescent="0.3">
      <c r="A359" s="7"/>
      <c r="B359" s="11"/>
      <c r="D359" s="11" t="s">
        <v>30</v>
      </c>
      <c r="E359" s="11" t="s">
        <v>26</v>
      </c>
      <c r="F359" s="13"/>
      <c r="G359" s="13"/>
      <c r="H359" s="11"/>
      <c r="I359" s="13">
        <f t="shared" si="130"/>
        <v>0</v>
      </c>
      <c r="J359" s="13">
        <v>0</v>
      </c>
      <c r="K359" s="13">
        <f t="shared" si="131"/>
        <v>0</v>
      </c>
      <c r="L359" s="13">
        <f t="shared" si="132"/>
        <v>0</v>
      </c>
      <c r="M359" s="13">
        <f t="shared" si="133"/>
        <v>0</v>
      </c>
      <c r="O359" s="7"/>
      <c r="P359" s="11"/>
      <c r="Q359" s="11"/>
    </row>
    <row r="360" spans="1:17" x14ac:dyDescent="0.3">
      <c r="A360" s="7" t="str">
        <f t="shared" si="129"/>
        <v>WMT</v>
      </c>
      <c r="B360" s="13">
        <v>3439</v>
      </c>
      <c r="D360" s="11" t="s">
        <v>32</v>
      </c>
      <c r="E360" s="11" t="s">
        <v>26</v>
      </c>
      <c r="F360" s="13">
        <v>40.299999999999997</v>
      </c>
      <c r="G360" s="13">
        <f>+B362/1000*F360</f>
        <v>137.62155809999999</v>
      </c>
      <c r="H360" s="12">
        <f>+MAX(0,(F360-18)/F360)</f>
        <v>0.5533498759305211</v>
      </c>
      <c r="I360" s="13">
        <f t="shared" si="130"/>
        <v>76.152872099999996</v>
      </c>
      <c r="J360" s="13">
        <f>+$M$1</f>
        <v>1569</v>
      </c>
      <c r="K360" s="13">
        <f t="shared" si="131"/>
        <v>14</v>
      </c>
      <c r="L360" s="13">
        <f t="shared" si="132"/>
        <v>1555</v>
      </c>
      <c r="M360" s="13">
        <f t="shared" si="133"/>
        <v>3807.2179800651738</v>
      </c>
      <c r="O360" s="7"/>
      <c r="P360" s="11"/>
      <c r="Q360" s="11"/>
    </row>
    <row r="361" spans="1:17" x14ac:dyDescent="0.3">
      <c r="A361" s="7" t="str">
        <f t="shared" si="129"/>
        <v>Moisture</v>
      </c>
      <c r="B361" s="15">
        <v>7.0000000000000001E-3</v>
      </c>
      <c r="D361" s="11"/>
      <c r="E361" s="11"/>
      <c r="F361" s="11"/>
      <c r="G361" s="13"/>
      <c r="H361" s="11"/>
      <c r="I361" s="11"/>
      <c r="J361" s="13"/>
      <c r="K361" s="13"/>
      <c r="L361" s="13"/>
      <c r="M361" s="13"/>
      <c r="O361" s="7"/>
      <c r="P361" s="11"/>
      <c r="Q361" s="11"/>
    </row>
    <row r="362" spans="1:17" x14ac:dyDescent="0.3">
      <c r="A362" s="7" t="str">
        <f t="shared" si="129"/>
        <v>DMT</v>
      </c>
      <c r="B362" s="13">
        <f>+B360*(1-B361)</f>
        <v>3414.9270000000001</v>
      </c>
      <c r="D362" s="11"/>
      <c r="E362" s="11"/>
      <c r="F362" s="11"/>
      <c r="G362" s="13"/>
      <c r="H362" s="11"/>
      <c r="I362" s="11"/>
      <c r="J362" s="13"/>
      <c r="K362" s="13"/>
      <c r="L362" s="13"/>
      <c r="M362" s="13"/>
      <c r="O362" s="7" t="s">
        <v>35</v>
      </c>
      <c r="P362" s="13">
        <v>0</v>
      </c>
      <c r="Q362" s="13">
        <v>0</v>
      </c>
    </row>
    <row r="363" spans="1:17" x14ac:dyDescent="0.3">
      <c r="A363" s="7" t="str">
        <f>+A350</f>
        <v>Resultado USD / Kg</v>
      </c>
      <c r="B363" s="13">
        <f>+U365/B360</f>
        <v>0</v>
      </c>
      <c r="D363" s="11"/>
      <c r="E363" s="11"/>
      <c r="F363" s="11"/>
      <c r="G363" s="13"/>
      <c r="H363" s="11"/>
      <c r="I363" s="11"/>
      <c r="J363" s="13"/>
      <c r="K363" s="13"/>
      <c r="L363" s="13"/>
      <c r="M363" s="13"/>
      <c r="O363" s="7" t="s">
        <v>37</v>
      </c>
      <c r="P363" s="13">
        <v>0</v>
      </c>
      <c r="Q363" s="13">
        <v>0</v>
      </c>
    </row>
    <row r="364" spans="1:17" x14ac:dyDescent="0.3">
      <c r="A364" s="18" t="s">
        <v>51</v>
      </c>
      <c r="B364" s="13"/>
      <c r="D364" s="11"/>
      <c r="E364" s="11"/>
      <c r="F364" s="11"/>
      <c r="G364" s="13"/>
      <c r="H364" s="11"/>
      <c r="I364" s="11"/>
      <c r="J364" s="13"/>
      <c r="K364" s="13"/>
      <c r="L364" s="13"/>
      <c r="M364" s="13"/>
      <c r="O364" s="7"/>
      <c r="P364" s="11"/>
      <c r="Q364" s="11"/>
    </row>
    <row r="365" spans="1:17" x14ac:dyDescent="0.3">
      <c r="D365" s="11"/>
      <c r="E365" s="11"/>
      <c r="F365" s="11"/>
      <c r="G365" s="13"/>
      <c r="H365" s="11"/>
      <c r="I365" s="11"/>
      <c r="J365" s="13"/>
      <c r="K365" s="13"/>
      <c r="L365" s="13"/>
      <c r="M365" s="13"/>
      <c r="O365" s="7"/>
      <c r="P365" s="11"/>
      <c r="Q365" s="11"/>
    </row>
    <row r="367" spans="1:17" x14ac:dyDescent="0.3">
      <c r="A367" s="6" t="s">
        <v>5</v>
      </c>
      <c r="B367" s="6"/>
      <c r="D367" s="6" t="s">
        <v>6</v>
      </c>
      <c r="E367" s="6"/>
      <c r="F367" s="6"/>
      <c r="G367" s="6"/>
      <c r="H367" s="6"/>
      <c r="I367" s="6"/>
      <c r="J367" s="6"/>
      <c r="K367" s="6"/>
      <c r="L367" s="6"/>
      <c r="M367" s="6"/>
      <c r="O367" s="6" t="s">
        <v>7</v>
      </c>
      <c r="P367" s="6"/>
      <c r="Q367" s="6"/>
    </row>
    <row r="368" spans="1:17" x14ac:dyDescent="0.3">
      <c r="A368" s="7" t="s">
        <v>8</v>
      </c>
      <c r="B368" s="8">
        <v>45979</v>
      </c>
      <c r="D368" s="6" t="s">
        <v>9</v>
      </c>
      <c r="E368" s="6"/>
      <c r="F368" s="6"/>
      <c r="G368" s="9" t="s">
        <v>10</v>
      </c>
      <c r="H368" s="9" t="s">
        <v>11</v>
      </c>
      <c r="I368" s="9" t="s">
        <v>12</v>
      </c>
      <c r="J368" s="9" t="s">
        <v>13</v>
      </c>
      <c r="K368" s="9" t="s">
        <v>14</v>
      </c>
      <c r="L368" s="9" t="s">
        <v>15</v>
      </c>
      <c r="M368" s="9" t="s">
        <v>16</v>
      </c>
      <c r="N368" s="10"/>
      <c r="O368" s="9" t="s">
        <v>17</v>
      </c>
      <c r="P368" s="9" t="s">
        <v>18</v>
      </c>
      <c r="Q368" s="9" t="s">
        <v>16</v>
      </c>
    </row>
    <row r="369" spans="1:17" x14ac:dyDescent="0.3">
      <c r="A369" s="7" t="s">
        <v>19</v>
      </c>
      <c r="B369" s="8">
        <f>+B368</f>
        <v>45979</v>
      </c>
      <c r="D369" s="11" t="s">
        <v>20</v>
      </c>
      <c r="E369" s="11" t="s">
        <v>21</v>
      </c>
      <c r="F369" s="12">
        <v>0.24970000000000001</v>
      </c>
      <c r="G369" s="13">
        <f>+F369*B375</f>
        <v>813.50162520000003</v>
      </c>
      <c r="H369" s="12">
        <f>+IF(F369&gt;=20,(F369-3%)/F369,IF(F369&gt;=23,(F369-5.16%)/F369,(F369-3%)/F369))</f>
        <v>0.87985582699239084</v>
      </c>
      <c r="I369" s="13">
        <f>+G369*H369</f>
        <v>715.76414520000003</v>
      </c>
      <c r="J369" s="13">
        <f>+$G$1</f>
        <v>11803.79</v>
      </c>
      <c r="K369" s="13">
        <v>300</v>
      </c>
      <c r="L369" s="13">
        <f>+J369-K369</f>
        <v>11503.79</v>
      </c>
      <c r="M369" s="13">
        <f>+I369*L369/1000</f>
        <v>8234.00041591031</v>
      </c>
      <c r="O369" s="7" t="s">
        <v>22</v>
      </c>
      <c r="P369" s="14" t="s">
        <v>23</v>
      </c>
      <c r="Q369" s="13">
        <f>600*B375/1000</f>
        <v>1954.7496000000001</v>
      </c>
    </row>
    <row r="370" spans="1:17" x14ac:dyDescent="0.3">
      <c r="A370" s="7" t="s">
        <v>24</v>
      </c>
      <c r="B370" s="14" t="s">
        <v>69</v>
      </c>
      <c r="D370" s="11" t="s">
        <v>25</v>
      </c>
      <c r="E370" s="11" t="s">
        <v>26</v>
      </c>
      <c r="F370" s="13">
        <v>300.2</v>
      </c>
      <c r="G370" s="13">
        <f>+B375/1000*F370</f>
        <v>978.02638320000005</v>
      </c>
      <c r="H370" s="12">
        <f>+MIN(0.96,(F370-7)/F370)</f>
        <v>0.96</v>
      </c>
      <c r="I370" s="13">
        <f t="shared" ref="I370:I373" si="134">+G370*H370</f>
        <v>938.90532787200004</v>
      </c>
      <c r="J370" s="13">
        <f>+$I$1</f>
        <v>4500</v>
      </c>
      <c r="K370" s="13">
        <v>5</v>
      </c>
      <c r="L370" s="13">
        <f t="shared" ref="L370:L373" si="135">+J370-K370</f>
        <v>4495</v>
      </c>
      <c r="M370" s="13">
        <f>+I370*L370/31.1034768</f>
        <v>135688.35008132082</v>
      </c>
      <c r="O370" s="7" t="s">
        <v>27</v>
      </c>
      <c r="P370" s="11">
        <v>100</v>
      </c>
      <c r="Q370" s="13">
        <f>+B373*P370/1000</f>
        <v>327.10000000000002</v>
      </c>
    </row>
    <row r="371" spans="1:17" x14ac:dyDescent="0.3">
      <c r="A371" s="7" t="s">
        <v>28</v>
      </c>
      <c r="B371" s="11">
        <v>1510</v>
      </c>
      <c r="D371" s="11" t="s">
        <v>29</v>
      </c>
      <c r="E371" s="11" t="s">
        <v>26</v>
      </c>
      <c r="F371" s="13">
        <v>1219</v>
      </c>
      <c r="G371" s="13">
        <f>+B375/1000*F371</f>
        <v>3971.3996040000002</v>
      </c>
      <c r="H371" s="12">
        <f>+MIN(0.95,MAX(0,(F371-100)/F371))</f>
        <v>0.91796554552912224</v>
      </c>
      <c r="I371" s="13">
        <f t="shared" si="134"/>
        <v>3645.6080040000002</v>
      </c>
      <c r="J371" s="13">
        <f>+$K$1</f>
        <v>64.34</v>
      </c>
      <c r="K371" s="13">
        <v>0.5</v>
      </c>
      <c r="L371" s="13">
        <f t="shared" si="135"/>
        <v>63.84</v>
      </c>
      <c r="M371" s="13">
        <f t="shared" ref="M371:M373" si="136">+I371*L371/31.1034768</f>
        <v>7482.6237745665794</v>
      </c>
      <c r="O371" s="7"/>
      <c r="P371" s="11"/>
      <c r="Q371" s="13"/>
    </row>
    <row r="372" spans="1:17" x14ac:dyDescent="0.3">
      <c r="A372" s="7"/>
      <c r="B372" s="11"/>
      <c r="D372" s="11" t="s">
        <v>30</v>
      </c>
      <c r="E372" s="11" t="s">
        <v>26</v>
      </c>
      <c r="F372" s="13"/>
      <c r="G372" s="13"/>
      <c r="H372" s="11"/>
      <c r="I372" s="13">
        <f t="shared" si="134"/>
        <v>0</v>
      </c>
      <c r="J372" s="13">
        <v>0</v>
      </c>
      <c r="K372" s="13"/>
      <c r="L372" s="13">
        <f t="shared" si="135"/>
        <v>0</v>
      </c>
      <c r="M372" s="13">
        <f t="shared" si="136"/>
        <v>0</v>
      </c>
      <c r="O372" s="7"/>
      <c r="P372" s="11"/>
      <c r="Q372" s="13"/>
    </row>
    <row r="373" spans="1:17" x14ac:dyDescent="0.3">
      <c r="A373" s="7" t="s">
        <v>31</v>
      </c>
      <c r="B373" s="13">
        <v>3271</v>
      </c>
      <c r="D373" s="11" t="s">
        <v>32</v>
      </c>
      <c r="E373" s="11" t="s">
        <v>26</v>
      </c>
      <c r="F373" s="13">
        <v>84.7</v>
      </c>
      <c r="G373" s="13">
        <f>+B375/1000*F373</f>
        <v>275.94548520000001</v>
      </c>
      <c r="H373" s="12">
        <f>+MAX(0,(F373-18)/F373)</f>
        <v>0.78748524203069659</v>
      </c>
      <c r="I373" s="13">
        <f t="shared" si="134"/>
        <v>217.30299720000002</v>
      </c>
      <c r="J373" s="13">
        <f>+$M$1</f>
        <v>1569</v>
      </c>
      <c r="K373" s="13">
        <v>14</v>
      </c>
      <c r="L373" s="13">
        <f t="shared" si="135"/>
        <v>1555</v>
      </c>
      <c r="M373" s="13">
        <f t="shared" si="136"/>
        <v>10863.935334907643</v>
      </c>
      <c r="O373" s="7"/>
      <c r="P373" s="11"/>
      <c r="Q373" s="13"/>
    </row>
    <row r="374" spans="1:17" x14ac:dyDescent="0.3">
      <c r="A374" s="7" t="s">
        <v>33</v>
      </c>
      <c r="B374" s="15">
        <v>4.0000000000000001E-3</v>
      </c>
      <c r="D374" s="11"/>
      <c r="E374" s="11"/>
      <c r="F374" s="13"/>
      <c r="G374" s="13"/>
      <c r="H374" s="11"/>
      <c r="I374" s="11"/>
      <c r="J374" s="13"/>
      <c r="K374" s="13"/>
      <c r="L374" s="13"/>
      <c r="M374" s="13"/>
      <c r="O374" s="7"/>
      <c r="P374" s="11"/>
      <c r="Q374" s="13"/>
    </row>
    <row r="375" spans="1:17" x14ac:dyDescent="0.3">
      <c r="A375" s="7" t="s">
        <v>34</v>
      </c>
      <c r="B375" s="13">
        <f>+B373*(1-B374)</f>
        <v>3257.9160000000002</v>
      </c>
      <c r="D375" s="11"/>
      <c r="E375" s="11"/>
      <c r="F375" s="13"/>
      <c r="G375" s="13"/>
      <c r="H375" s="11"/>
      <c r="I375" s="11"/>
      <c r="J375" s="13"/>
      <c r="K375" s="13"/>
      <c r="L375" s="13"/>
      <c r="M375" s="13"/>
      <c r="O375" s="7" t="s">
        <v>35</v>
      </c>
      <c r="P375" s="13">
        <v>0</v>
      </c>
      <c r="Q375" s="13">
        <v>0</v>
      </c>
    </row>
    <row r="376" spans="1:17" x14ac:dyDescent="0.3">
      <c r="A376" s="7" t="s">
        <v>36</v>
      </c>
      <c r="B376" s="13">
        <f>+U378/B373</f>
        <v>0</v>
      </c>
      <c r="D376" s="11"/>
      <c r="E376" s="11"/>
      <c r="F376" s="11"/>
      <c r="G376" s="13"/>
      <c r="H376" s="11"/>
      <c r="I376" s="11"/>
      <c r="J376" s="13"/>
      <c r="K376" s="13"/>
      <c r="L376" s="13"/>
      <c r="M376" s="13"/>
      <c r="O376" s="7" t="s">
        <v>37</v>
      </c>
      <c r="P376" s="13">
        <v>0</v>
      </c>
      <c r="Q376" s="13">
        <v>0</v>
      </c>
    </row>
    <row r="377" spans="1:17" x14ac:dyDescent="0.3">
      <c r="A377" s="16" t="s">
        <v>70</v>
      </c>
      <c r="B377" s="13"/>
      <c r="D377" s="11"/>
      <c r="E377" s="11"/>
      <c r="F377" s="11"/>
      <c r="G377" s="13"/>
      <c r="H377" s="11"/>
      <c r="I377" s="11"/>
      <c r="J377" s="13"/>
      <c r="K377" s="13"/>
      <c r="L377" s="13"/>
      <c r="M377" s="13"/>
      <c r="O377" s="7"/>
      <c r="P377" s="11"/>
      <c r="Q377" s="13"/>
    </row>
    <row r="378" spans="1:17" x14ac:dyDescent="0.3">
      <c r="D378" s="11"/>
      <c r="E378" s="11"/>
      <c r="F378" s="11"/>
      <c r="G378" s="13"/>
      <c r="H378" s="11"/>
      <c r="I378" s="11"/>
      <c r="J378" s="13"/>
      <c r="K378" s="13"/>
      <c r="L378" s="13"/>
      <c r="M378" s="13"/>
      <c r="O378" s="7"/>
      <c r="P378" s="11"/>
      <c r="Q378" s="13"/>
    </row>
    <row r="380" spans="1:17" x14ac:dyDescent="0.3">
      <c r="A380" s="6" t="s">
        <v>5</v>
      </c>
      <c r="B380" s="6"/>
      <c r="D380" s="6" t="s">
        <v>6</v>
      </c>
      <c r="E380" s="6"/>
      <c r="F380" s="6"/>
      <c r="G380" s="6"/>
      <c r="H380" s="6"/>
      <c r="I380" s="6"/>
      <c r="J380" s="6"/>
      <c r="K380" s="6"/>
      <c r="L380" s="6"/>
      <c r="M380" s="6"/>
      <c r="O380" s="6" t="s">
        <v>7</v>
      </c>
      <c r="P380" s="6"/>
      <c r="Q380" s="6"/>
    </row>
    <row r="381" spans="1:17" x14ac:dyDescent="0.3">
      <c r="A381" s="7" t="str">
        <f>+A368</f>
        <v>Arrival date</v>
      </c>
      <c r="B381" s="8">
        <f>+B368</f>
        <v>45979</v>
      </c>
      <c r="D381" s="6" t="s">
        <v>9</v>
      </c>
      <c r="E381" s="6"/>
      <c r="F381" s="6"/>
      <c r="G381" s="9" t="s">
        <v>10</v>
      </c>
      <c r="H381" s="9" t="s">
        <v>11</v>
      </c>
      <c r="I381" s="9" t="s">
        <v>12</v>
      </c>
      <c r="J381" s="9" t="s">
        <v>13</v>
      </c>
      <c r="K381" s="9" t="s">
        <v>14</v>
      </c>
      <c r="L381" s="9" t="s">
        <v>15</v>
      </c>
      <c r="M381" s="9" t="s">
        <v>16</v>
      </c>
      <c r="N381" s="10"/>
      <c r="O381" s="9" t="s">
        <v>17</v>
      </c>
      <c r="P381" s="9" t="s">
        <v>18</v>
      </c>
      <c r="Q381" s="9" t="s">
        <v>16</v>
      </c>
    </row>
    <row r="382" spans="1:17" x14ac:dyDescent="0.3">
      <c r="A382" s="7" t="str">
        <f t="shared" ref="A382:A389" si="137">+A369</f>
        <v>Receptive date</v>
      </c>
      <c r="B382" s="8">
        <f>+B381</f>
        <v>45979</v>
      </c>
      <c r="D382" s="11" t="s">
        <v>20</v>
      </c>
      <c r="E382" s="11" t="s">
        <v>21</v>
      </c>
      <c r="F382" s="12">
        <v>0.25690000000000002</v>
      </c>
      <c r="G382" s="13">
        <f>+F382*B388</f>
        <v>694.36653230000013</v>
      </c>
      <c r="H382" s="12">
        <f>+IF(F382&gt;=20,(F382-3%)/F382,IF(F382&gt;=23,(F382-5.16%)/F382,(F382-3%)/F382))</f>
        <v>0.88322304398598672</v>
      </c>
      <c r="I382" s="13">
        <f>+G382*H382</f>
        <v>613.28052230000003</v>
      </c>
      <c r="J382" s="13">
        <f>+$G$1</f>
        <v>11803.79</v>
      </c>
      <c r="K382" s="13">
        <f>+K369</f>
        <v>300</v>
      </c>
      <c r="L382" s="13">
        <f>+J382-K382</f>
        <v>11503.79</v>
      </c>
      <c r="M382" s="13">
        <f>+I382*L382/1000</f>
        <v>7055.050339629518</v>
      </c>
      <c r="O382" s="7" t="s">
        <v>22</v>
      </c>
      <c r="P382" s="14" t="s">
        <v>23</v>
      </c>
      <c r="Q382" s="13">
        <f>600*B388/1000</f>
        <v>1621.7202000000002</v>
      </c>
    </row>
    <row r="383" spans="1:17" x14ac:dyDescent="0.3">
      <c r="A383" s="7" t="str">
        <f t="shared" si="137"/>
        <v>Customer lot No.</v>
      </c>
      <c r="B383" s="14" t="s">
        <v>71</v>
      </c>
      <c r="D383" s="11" t="s">
        <v>25</v>
      </c>
      <c r="E383" s="11" t="s">
        <v>26</v>
      </c>
      <c r="F383" s="13">
        <v>234.8</v>
      </c>
      <c r="G383" s="13">
        <f>+B388/1000*F383</f>
        <v>634.63317160000008</v>
      </c>
      <c r="H383" s="12">
        <f>+MIN(0.96,(F383-7)/F383)</f>
        <v>0.96</v>
      </c>
      <c r="I383" s="13">
        <f t="shared" ref="I383:I386" si="138">+G383*H383</f>
        <v>609.24784473600005</v>
      </c>
      <c r="J383" s="13">
        <f>+$I$1</f>
        <v>4500</v>
      </c>
      <c r="K383" s="13">
        <f t="shared" ref="K383:K386" si="139">+K370</f>
        <v>5</v>
      </c>
      <c r="L383" s="13">
        <f t="shared" ref="L383:L386" si="140">+J383-K383</f>
        <v>4495</v>
      </c>
      <c r="M383" s="13">
        <f>+I383*L383/31.1034768</f>
        <v>88047.03987588681</v>
      </c>
      <c r="O383" s="7" t="s">
        <v>27</v>
      </c>
      <c r="P383" s="11">
        <v>100</v>
      </c>
      <c r="Q383" s="13">
        <f>+B386*P383/1000</f>
        <v>271.10000000000002</v>
      </c>
    </row>
    <row r="384" spans="1:17" x14ac:dyDescent="0.3">
      <c r="A384" s="7" t="str">
        <f t="shared" si="137"/>
        <v>Lot No. (JX)</v>
      </c>
      <c r="B384" s="11">
        <v>1511</v>
      </c>
      <c r="D384" s="11" t="s">
        <v>29</v>
      </c>
      <c r="E384" s="11" t="s">
        <v>26</v>
      </c>
      <c r="F384" s="13">
        <v>1004</v>
      </c>
      <c r="G384" s="13">
        <f>+B388/1000*F384</f>
        <v>2713.6784680000005</v>
      </c>
      <c r="H384" s="12">
        <f>+MIN(0.95,MAX(0,(F384-100)/F384))</f>
        <v>0.90039840637450197</v>
      </c>
      <c r="I384" s="13">
        <f t="shared" si="138"/>
        <v>2443.3917680000004</v>
      </c>
      <c r="J384" s="13">
        <f>+$K$1</f>
        <v>64.34</v>
      </c>
      <c r="K384" s="13">
        <f t="shared" si="139"/>
        <v>0.5</v>
      </c>
      <c r="L384" s="13">
        <f t="shared" si="140"/>
        <v>63.84</v>
      </c>
      <c r="M384" s="13">
        <f t="shared" ref="M384:M386" si="141">+I384*L384/31.1034768</f>
        <v>5015.0705489336169</v>
      </c>
      <c r="O384" s="7"/>
      <c r="P384" s="11"/>
      <c r="Q384" s="13"/>
    </row>
    <row r="385" spans="1:17" x14ac:dyDescent="0.3">
      <c r="A385" s="7"/>
      <c r="B385" s="11"/>
      <c r="D385" s="11" t="s">
        <v>30</v>
      </c>
      <c r="E385" s="11" t="s">
        <v>26</v>
      </c>
      <c r="F385" s="13"/>
      <c r="G385" s="13"/>
      <c r="H385" s="11"/>
      <c r="I385" s="13">
        <f t="shared" si="138"/>
        <v>0</v>
      </c>
      <c r="J385" s="13">
        <v>0</v>
      </c>
      <c r="K385" s="13">
        <f t="shared" si="139"/>
        <v>0</v>
      </c>
      <c r="L385" s="13">
        <f t="shared" si="140"/>
        <v>0</v>
      </c>
      <c r="M385" s="13">
        <f t="shared" si="141"/>
        <v>0</v>
      </c>
      <c r="O385" s="7"/>
      <c r="P385" s="11"/>
      <c r="Q385" s="13"/>
    </row>
    <row r="386" spans="1:17" x14ac:dyDescent="0.3">
      <c r="A386" s="7" t="str">
        <f t="shared" si="137"/>
        <v>WMT</v>
      </c>
      <c r="B386" s="13">
        <v>2711</v>
      </c>
      <c r="D386" s="11" t="s">
        <v>32</v>
      </c>
      <c r="E386" s="11" t="s">
        <v>26</v>
      </c>
      <c r="F386" s="13">
        <v>54.2</v>
      </c>
      <c r="G386" s="13">
        <f>+B388/1000*F386</f>
        <v>146.49539140000002</v>
      </c>
      <c r="H386" s="12">
        <f>+MAX(0,(F386-18)/F386)</f>
        <v>0.66789667896678973</v>
      </c>
      <c r="I386" s="13">
        <f t="shared" si="138"/>
        <v>97.843785400000016</v>
      </c>
      <c r="J386" s="13">
        <f>+$M$1</f>
        <v>1569</v>
      </c>
      <c r="K386" s="13">
        <f t="shared" si="139"/>
        <v>14</v>
      </c>
      <c r="L386" s="13">
        <f t="shared" si="140"/>
        <v>1555</v>
      </c>
      <c r="M386" s="13">
        <f t="shared" si="141"/>
        <v>4891.6424126900192</v>
      </c>
      <c r="O386" s="7"/>
      <c r="P386" s="11"/>
      <c r="Q386" s="13"/>
    </row>
    <row r="387" spans="1:17" x14ac:dyDescent="0.3">
      <c r="A387" s="7" t="str">
        <f t="shared" si="137"/>
        <v>Moisture</v>
      </c>
      <c r="B387" s="15">
        <v>3.0000000000000001E-3</v>
      </c>
      <c r="D387" s="11"/>
      <c r="E387" s="11"/>
      <c r="F387" s="13"/>
      <c r="G387" s="13"/>
      <c r="H387" s="11"/>
      <c r="I387" s="11"/>
      <c r="J387" s="13"/>
      <c r="K387" s="13"/>
      <c r="L387" s="13"/>
      <c r="M387" s="13"/>
      <c r="O387" s="7"/>
      <c r="P387" s="11"/>
      <c r="Q387" s="13"/>
    </row>
    <row r="388" spans="1:17" x14ac:dyDescent="0.3">
      <c r="A388" s="7" t="str">
        <f t="shared" si="137"/>
        <v>DMT</v>
      </c>
      <c r="B388" s="13">
        <f>+B386*(1-B387)</f>
        <v>2702.8670000000002</v>
      </c>
      <c r="D388" s="11"/>
      <c r="E388" s="11"/>
      <c r="F388" s="13"/>
      <c r="G388" s="13"/>
      <c r="H388" s="11"/>
      <c r="I388" s="11"/>
      <c r="J388" s="13"/>
      <c r="K388" s="13"/>
      <c r="L388" s="13"/>
      <c r="M388" s="13"/>
      <c r="O388" s="7" t="s">
        <v>35</v>
      </c>
      <c r="P388" s="13">
        <v>0</v>
      </c>
      <c r="Q388" s="13">
        <v>0</v>
      </c>
    </row>
    <row r="389" spans="1:17" x14ac:dyDescent="0.3">
      <c r="A389" s="7" t="str">
        <f t="shared" si="137"/>
        <v>Resultado USD / Kg</v>
      </c>
      <c r="B389" s="13">
        <f>+U391/B386</f>
        <v>0</v>
      </c>
      <c r="D389" s="11"/>
      <c r="E389" s="11"/>
      <c r="F389" s="11"/>
      <c r="G389" s="13"/>
      <c r="H389" s="11"/>
      <c r="I389" s="11"/>
      <c r="J389" s="13"/>
      <c r="K389" s="13"/>
      <c r="L389" s="13"/>
      <c r="M389" s="13"/>
      <c r="O389" s="7" t="s">
        <v>37</v>
      </c>
      <c r="P389" s="13">
        <v>0</v>
      </c>
      <c r="Q389" s="13">
        <v>0</v>
      </c>
    </row>
    <row r="390" spans="1:17" x14ac:dyDescent="0.3">
      <c r="A390" s="18" t="s">
        <v>50</v>
      </c>
      <c r="B390" s="13"/>
      <c r="D390" s="11"/>
      <c r="E390" s="11"/>
      <c r="F390" s="11"/>
      <c r="G390" s="13"/>
      <c r="H390" s="11"/>
      <c r="I390" s="11"/>
      <c r="J390" s="13"/>
      <c r="K390" s="13"/>
      <c r="L390" s="13"/>
      <c r="M390" s="13"/>
      <c r="O390" s="7"/>
      <c r="P390" s="11"/>
      <c r="Q390" s="13"/>
    </row>
    <row r="391" spans="1:17" x14ac:dyDescent="0.3">
      <c r="D391" s="11"/>
      <c r="E391" s="11"/>
      <c r="F391" s="11"/>
      <c r="G391" s="13"/>
      <c r="H391" s="11"/>
      <c r="I391" s="11"/>
      <c r="J391" s="13"/>
      <c r="K391" s="13"/>
      <c r="L391" s="13"/>
      <c r="M391" s="13"/>
      <c r="O391" s="7"/>
      <c r="P391" s="11"/>
      <c r="Q391" s="13"/>
    </row>
    <row r="393" spans="1:17" x14ac:dyDescent="0.3">
      <c r="A393" s="6" t="s">
        <v>5</v>
      </c>
      <c r="B393" s="6"/>
      <c r="D393" s="6" t="s">
        <v>6</v>
      </c>
      <c r="E393" s="6"/>
      <c r="F393" s="6"/>
      <c r="G393" s="6"/>
      <c r="H393" s="6"/>
      <c r="I393" s="6"/>
      <c r="J393" s="6"/>
      <c r="K393" s="6"/>
      <c r="L393" s="6"/>
      <c r="M393" s="6"/>
      <c r="O393" s="6" t="s">
        <v>7</v>
      </c>
      <c r="P393" s="6"/>
      <c r="Q393" s="6"/>
    </row>
    <row r="394" spans="1:17" x14ac:dyDescent="0.3">
      <c r="A394" s="7" t="str">
        <f>+A381</f>
        <v>Arrival date</v>
      </c>
      <c r="B394" s="8">
        <f>+B381</f>
        <v>45979</v>
      </c>
      <c r="D394" s="6" t="s">
        <v>9</v>
      </c>
      <c r="E394" s="6"/>
      <c r="F394" s="6"/>
      <c r="G394" s="9" t="s">
        <v>10</v>
      </c>
      <c r="H394" s="9" t="s">
        <v>11</v>
      </c>
      <c r="I394" s="9" t="s">
        <v>12</v>
      </c>
      <c r="J394" s="9" t="s">
        <v>13</v>
      </c>
      <c r="K394" s="9" t="s">
        <v>14</v>
      </c>
      <c r="L394" s="9" t="s">
        <v>15</v>
      </c>
      <c r="M394" s="9" t="s">
        <v>16</v>
      </c>
      <c r="N394" s="10"/>
      <c r="O394" s="9" t="s">
        <v>17</v>
      </c>
      <c r="P394" s="9" t="s">
        <v>18</v>
      </c>
      <c r="Q394" s="9" t="s">
        <v>16</v>
      </c>
    </row>
    <row r="395" spans="1:17" x14ac:dyDescent="0.3">
      <c r="A395" s="7" t="str">
        <f t="shared" ref="A395:A402" si="142">+A382</f>
        <v>Receptive date</v>
      </c>
      <c r="B395" s="8">
        <f>+B394</f>
        <v>45979</v>
      </c>
      <c r="D395" s="11" t="s">
        <v>20</v>
      </c>
      <c r="E395" s="11" t="s">
        <v>21</v>
      </c>
      <c r="F395" s="12">
        <v>0.2177</v>
      </c>
      <c r="G395" s="13">
        <f>+F395*B401</f>
        <v>400.81879040000001</v>
      </c>
      <c r="H395" s="12">
        <f>+IF(F395&gt;=20,(F395-3%)/F395,IF(F395&gt;=23,(F395-5.16%)/F395,(F395-3%)/F395))</f>
        <v>0.86219568213137343</v>
      </c>
      <c r="I395" s="13">
        <f>+G395*H395</f>
        <v>345.58423040000002</v>
      </c>
      <c r="J395" s="13">
        <f>+$G$1</f>
        <v>11803.79</v>
      </c>
      <c r="K395" s="13">
        <f>+K382</f>
        <v>300</v>
      </c>
      <c r="L395" s="13">
        <f>+J395-K395</f>
        <v>11503.79</v>
      </c>
      <c r="M395" s="13">
        <f>+I395*L395/1000</f>
        <v>3975.5284138332167</v>
      </c>
      <c r="O395" s="7" t="s">
        <v>22</v>
      </c>
      <c r="P395" s="14" t="s">
        <v>23</v>
      </c>
      <c r="Q395" s="17">
        <f>600*B401/1000</f>
        <v>1104.6912</v>
      </c>
    </row>
    <row r="396" spans="1:17" x14ac:dyDescent="0.3">
      <c r="A396" s="7" t="str">
        <f t="shared" si="142"/>
        <v>Customer lot No.</v>
      </c>
      <c r="B396" s="14" t="s">
        <v>72</v>
      </c>
      <c r="D396" s="11" t="s">
        <v>25</v>
      </c>
      <c r="E396" s="11" t="s">
        <v>26</v>
      </c>
      <c r="F396" s="13">
        <v>207.5</v>
      </c>
      <c r="G396" s="13">
        <f>+B401/1000*F396</f>
        <v>382.03904</v>
      </c>
      <c r="H396" s="12">
        <f>+MIN(0.96,(F396-7)/F396)</f>
        <v>0.96</v>
      </c>
      <c r="I396" s="13">
        <f t="shared" ref="I396:I399" si="143">+G396*H396</f>
        <v>366.75747839999997</v>
      </c>
      <c r="J396" s="13">
        <f>+$I$1</f>
        <v>4500</v>
      </c>
      <c r="K396" s="13">
        <f t="shared" ref="K396:K399" si="144">+K383</f>
        <v>5</v>
      </c>
      <c r="L396" s="13">
        <f t="shared" ref="L396:L399" si="145">+J396-K396</f>
        <v>4495</v>
      </c>
      <c r="M396" s="13">
        <f>+I396*L396/31.1034768</f>
        <v>53002.912697142587</v>
      </c>
      <c r="O396" s="7" t="s">
        <v>27</v>
      </c>
      <c r="P396" s="11">
        <v>100</v>
      </c>
      <c r="Q396" s="11">
        <f>+B399*P396/1000</f>
        <v>185.6</v>
      </c>
    </row>
    <row r="397" spans="1:17" x14ac:dyDescent="0.3">
      <c r="A397" s="7" t="str">
        <f t="shared" si="142"/>
        <v>Lot No. (JX)</v>
      </c>
      <c r="B397" s="11">
        <v>1512</v>
      </c>
      <c r="D397" s="11" t="s">
        <v>29</v>
      </c>
      <c r="E397" s="11" t="s">
        <v>26</v>
      </c>
      <c r="F397" s="13">
        <v>592</v>
      </c>
      <c r="G397" s="13">
        <f>+B401/1000*F397</f>
        <v>1089.961984</v>
      </c>
      <c r="H397" s="12">
        <f>+MIN(0.95,MAX(0,(F397-100)/F397))</f>
        <v>0.83108108108108103</v>
      </c>
      <c r="I397" s="13">
        <f t="shared" si="143"/>
        <v>905.84678399999996</v>
      </c>
      <c r="J397" s="13">
        <f>+$K$1</f>
        <v>64.34</v>
      </c>
      <c r="K397" s="13">
        <f t="shared" si="144"/>
        <v>0.5</v>
      </c>
      <c r="L397" s="13">
        <f t="shared" si="145"/>
        <v>63.84</v>
      </c>
      <c r="M397" s="13">
        <f t="shared" ref="M397:M399" si="146">+I397*L397/31.1034768</f>
        <v>1859.253840411822</v>
      </c>
      <c r="O397" s="7"/>
      <c r="P397" s="11"/>
      <c r="Q397" s="11"/>
    </row>
    <row r="398" spans="1:17" x14ac:dyDescent="0.3">
      <c r="A398" s="7"/>
      <c r="B398" s="11"/>
      <c r="D398" s="11" t="s">
        <v>30</v>
      </c>
      <c r="E398" s="11" t="s">
        <v>26</v>
      </c>
      <c r="F398" s="13"/>
      <c r="G398" s="13"/>
      <c r="H398" s="11"/>
      <c r="I398" s="13">
        <f t="shared" si="143"/>
        <v>0</v>
      </c>
      <c r="J398" s="13">
        <v>0</v>
      </c>
      <c r="K398" s="13">
        <f t="shared" si="144"/>
        <v>0</v>
      </c>
      <c r="L398" s="13">
        <f t="shared" si="145"/>
        <v>0</v>
      </c>
      <c r="M398" s="13">
        <f t="shared" si="146"/>
        <v>0</v>
      </c>
      <c r="O398" s="7"/>
      <c r="P398" s="11"/>
      <c r="Q398" s="11"/>
    </row>
    <row r="399" spans="1:17" x14ac:dyDescent="0.3">
      <c r="A399" s="7" t="str">
        <f t="shared" si="142"/>
        <v>WMT</v>
      </c>
      <c r="B399" s="13">
        <v>1856</v>
      </c>
      <c r="D399" s="11" t="s">
        <v>32</v>
      </c>
      <c r="E399" s="11" t="s">
        <v>26</v>
      </c>
      <c r="F399" s="13">
        <v>28.9</v>
      </c>
      <c r="G399" s="13">
        <f>+B401/1000*F399</f>
        <v>53.2092928</v>
      </c>
      <c r="H399" s="12">
        <f>+MAX(0,(F399-18)/F399)</f>
        <v>0.37716262975778542</v>
      </c>
      <c r="I399" s="13">
        <f t="shared" si="143"/>
        <v>20.068556799999996</v>
      </c>
      <c r="J399" s="13">
        <f>+$M$1</f>
        <v>1569</v>
      </c>
      <c r="K399" s="13">
        <f t="shared" si="144"/>
        <v>14</v>
      </c>
      <c r="L399" s="13">
        <f t="shared" si="145"/>
        <v>1555</v>
      </c>
      <c r="M399" s="13">
        <f t="shared" si="146"/>
        <v>1003.3156751144938</v>
      </c>
      <c r="O399" s="7"/>
      <c r="P399" s="11"/>
      <c r="Q399" s="11"/>
    </row>
    <row r="400" spans="1:17" x14ac:dyDescent="0.3">
      <c r="A400" s="7" t="str">
        <f t="shared" si="142"/>
        <v>Moisture</v>
      </c>
      <c r="B400" s="15">
        <v>8.0000000000000002E-3</v>
      </c>
      <c r="D400" s="11"/>
      <c r="E400" s="11"/>
      <c r="F400" s="13"/>
      <c r="G400" s="13"/>
      <c r="H400" s="11"/>
      <c r="I400" s="11"/>
      <c r="J400" s="13"/>
      <c r="K400" s="13"/>
      <c r="L400" s="13"/>
      <c r="M400" s="13"/>
      <c r="O400" s="7"/>
      <c r="P400" s="11"/>
      <c r="Q400" s="11"/>
    </row>
    <row r="401" spans="1:17" x14ac:dyDescent="0.3">
      <c r="A401" s="7" t="str">
        <f t="shared" si="142"/>
        <v>DMT</v>
      </c>
      <c r="B401" s="13">
        <f>+B399*(1-B400)</f>
        <v>1841.152</v>
      </c>
      <c r="D401" s="11"/>
      <c r="E401" s="11"/>
      <c r="F401" s="13"/>
      <c r="G401" s="13"/>
      <c r="H401" s="11"/>
      <c r="I401" s="11"/>
      <c r="J401" s="13"/>
      <c r="K401" s="13"/>
      <c r="L401" s="13"/>
      <c r="M401" s="13"/>
      <c r="O401" s="7" t="s">
        <v>35</v>
      </c>
      <c r="P401" s="13">
        <v>0</v>
      </c>
      <c r="Q401" s="13">
        <v>0</v>
      </c>
    </row>
    <row r="402" spans="1:17" x14ac:dyDescent="0.3">
      <c r="A402" s="7" t="str">
        <f t="shared" si="142"/>
        <v>Resultado USD / Kg</v>
      </c>
      <c r="B402" s="13">
        <f>+U404/B399</f>
        <v>0</v>
      </c>
      <c r="D402" s="11"/>
      <c r="E402" s="11"/>
      <c r="F402" s="11"/>
      <c r="G402" s="13"/>
      <c r="H402" s="11"/>
      <c r="I402" s="11"/>
      <c r="J402" s="13"/>
      <c r="K402" s="13"/>
      <c r="L402" s="13"/>
      <c r="M402" s="13"/>
      <c r="O402" s="7" t="s">
        <v>37</v>
      </c>
      <c r="P402" s="13">
        <v>0</v>
      </c>
      <c r="Q402" s="13">
        <v>0</v>
      </c>
    </row>
    <row r="403" spans="1:17" x14ac:dyDescent="0.3">
      <c r="A403" s="16" t="s">
        <v>52</v>
      </c>
      <c r="B403" s="13"/>
      <c r="D403" s="11"/>
      <c r="E403" s="11"/>
      <c r="F403" s="11"/>
      <c r="G403" s="13"/>
      <c r="H403" s="11"/>
      <c r="I403" s="11"/>
      <c r="J403" s="13"/>
      <c r="K403" s="13"/>
      <c r="L403" s="13"/>
      <c r="M403" s="13"/>
      <c r="O403" s="7"/>
      <c r="P403" s="11"/>
      <c r="Q403" s="11"/>
    </row>
    <row r="404" spans="1:17" x14ac:dyDescent="0.3">
      <c r="D404" s="11"/>
      <c r="E404" s="11"/>
      <c r="F404" s="11"/>
      <c r="G404" s="13"/>
      <c r="H404" s="11"/>
      <c r="I404" s="11"/>
      <c r="J404" s="13"/>
      <c r="K404" s="13"/>
      <c r="L404" s="13"/>
      <c r="M404" s="13"/>
      <c r="O404" s="7"/>
      <c r="P404" s="11"/>
      <c r="Q404" s="11"/>
    </row>
    <row r="406" spans="1:17" x14ac:dyDescent="0.3">
      <c r="A406" s="6" t="s">
        <v>5</v>
      </c>
      <c r="B406" s="6"/>
      <c r="D406" s="6" t="s">
        <v>6</v>
      </c>
      <c r="E406" s="6"/>
      <c r="F406" s="6"/>
      <c r="G406" s="6"/>
      <c r="H406" s="6"/>
      <c r="I406" s="6"/>
      <c r="J406" s="6"/>
      <c r="K406" s="6"/>
      <c r="L406" s="6"/>
      <c r="M406" s="6"/>
      <c r="O406" s="6" t="s">
        <v>7</v>
      </c>
      <c r="P406" s="6"/>
      <c r="Q406" s="6"/>
    </row>
    <row r="407" spans="1:17" x14ac:dyDescent="0.3">
      <c r="A407" s="7" t="str">
        <f>+A394</f>
        <v>Arrival date</v>
      </c>
      <c r="B407" s="8">
        <f>+B394</f>
        <v>45979</v>
      </c>
      <c r="D407" s="6" t="s">
        <v>9</v>
      </c>
      <c r="E407" s="6"/>
      <c r="F407" s="6"/>
      <c r="G407" s="9" t="s">
        <v>10</v>
      </c>
      <c r="H407" s="9" t="s">
        <v>11</v>
      </c>
      <c r="I407" s="9" t="s">
        <v>12</v>
      </c>
      <c r="J407" s="9" t="s">
        <v>13</v>
      </c>
      <c r="K407" s="9" t="s">
        <v>14</v>
      </c>
      <c r="L407" s="9" t="s">
        <v>15</v>
      </c>
      <c r="M407" s="9" t="s">
        <v>16</v>
      </c>
      <c r="N407" s="10"/>
      <c r="O407" s="9" t="s">
        <v>17</v>
      </c>
      <c r="P407" s="9" t="s">
        <v>18</v>
      </c>
      <c r="Q407" s="9" t="s">
        <v>16</v>
      </c>
    </row>
    <row r="408" spans="1:17" x14ac:dyDescent="0.3">
      <c r="A408" s="7" t="str">
        <f t="shared" ref="A408:A415" si="147">+A395</f>
        <v>Receptive date</v>
      </c>
      <c r="B408" s="8">
        <f>+B407</f>
        <v>45979</v>
      </c>
      <c r="D408" s="11" t="s">
        <v>20</v>
      </c>
      <c r="E408" s="11" t="s">
        <v>21</v>
      </c>
      <c r="F408" s="12">
        <v>0.2165</v>
      </c>
      <c r="G408" s="13">
        <f>+F408*B414</f>
        <v>492.82479549999994</v>
      </c>
      <c r="H408" s="12">
        <f>+IF(F408&gt;=20,(F408-3%)/F408,IF(F408&gt;=23,(F408-5.16%)/F408,(F408-3%)/F408))</f>
        <v>0.86143187066974591</v>
      </c>
      <c r="I408" s="13">
        <f>+G408*H408</f>
        <v>424.53498549999995</v>
      </c>
      <c r="J408" s="13">
        <f>+$G$1</f>
        <v>11803.79</v>
      </c>
      <c r="K408" s="13">
        <f>+K395</f>
        <v>300</v>
      </c>
      <c r="L408" s="13">
        <f>+J408-K408</f>
        <v>11503.79</v>
      </c>
      <c r="M408" s="13">
        <f>+I408*L408/1000</f>
        <v>4883.7613208450448</v>
      </c>
      <c r="O408" s="7" t="s">
        <v>22</v>
      </c>
      <c r="P408" s="14" t="s">
        <v>23</v>
      </c>
      <c r="Q408" s="17">
        <f>600*B414/1000</f>
        <v>1365.7962</v>
      </c>
    </row>
    <row r="409" spans="1:17" x14ac:dyDescent="0.3">
      <c r="A409" s="7" t="str">
        <f t="shared" si="147"/>
        <v>Customer lot No.</v>
      </c>
      <c r="B409" s="14" t="s">
        <v>73</v>
      </c>
      <c r="D409" s="11" t="s">
        <v>25</v>
      </c>
      <c r="E409" s="11" t="s">
        <v>26</v>
      </c>
      <c r="F409" s="13">
        <v>152.4</v>
      </c>
      <c r="G409" s="13">
        <f>+B414/1000*F409</f>
        <v>346.91223479999996</v>
      </c>
      <c r="H409" s="12">
        <f>+MIN(0.96,(F409-7)/F409)</f>
        <v>0.95406824146981628</v>
      </c>
      <c r="I409" s="13">
        <f t="shared" ref="I409:I412" si="148">+G409*H409</f>
        <v>330.97794579999999</v>
      </c>
      <c r="J409" s="13">
        <f>+$I$1</f>
        <v>4500</v>
      </c>
      <c r="K409" s="13">
        <f t="shared" ref="K409:K412" si="149">+K396</f>
        <v>5</v>
      </c>
      <c r="L409" s="13">
        <f t="shared" ref="L409:L412" si="150">+J409-K409</f>
        <v>4495</v>
      </c>
      <c r="M409" s="13">
        <f>+I409*L409/31.1034768</f>
        <v>47832.140308217888</v>
      </c>
      <c r="O409" s="7" t="s">
        <v>27</v>
      </c>
      <c r="P409" s="11">
        <v>100</v>
      </c>
      <c r="Q409" s="11">
        <f>+B412*P409/1000</f>
        <v>229.7</v>
      </c>
    </row>
    <row r="410" spans="1:17" x14ac:dyDescent="0.3">
      <c r="A410" s="7" t="str">
        <f t="shared" si="147"/>
        <v>Lot No. (JX)</v>
      </c>
      <c r="B410" s="11">
        <v>1513</v>
      </c>
      <c r="D410" s="11" t="s">
        <v>29</v>
      </c>
      <c r="E410" s="11" t="s">
        <v>26</v>
      </c>
      <c r="F410" s="13">
        <v>460</v>
      </c>
      <c r="G410" s="13">
        <f>+B414/1000*F410</f>
        <v>1047.11042</v>
      </c>
      <c r="H410" s="12">
        <f>+MIN(0.95,MAX(0,(F410-100)/F410))</f>
        <v>0.78260869565217395</v>
      </c>
      <c r="I410" s="13">
        <f t="shared" si="148"/>
        <v>819.47771999999998</v>
      </c>
      <c r="J410" s="13">
        <f>+$K$1</f>
        <v>64.34</v>
      </c>
      <c r="K410" s="13">
        <f t="shared" si="149"/>
        <v>0.5</v>
      </c>
      <c r="L410" s="13">
        <f t="shared" si="150"/>
        <v>63.84</v>
      </c>
      <c r="M410" s="13">
        <f t="shared" ref="M410:M412" si="151">+I410*L410/31.1034768</f>
        <v>1681.981020359756</v>
      </c>
      <c r="O410" s="7"/>
      <c r="P410" s="11"/>
      <c r="Q410" s="11"/>
    </row>
    <row r="411" spans="1:17" x14ac:dyDescent="0.3">
      <c r="A411" s="7"/>
      <c r="B411" s="11"/>
      <c r="D411" s="11" t="s">
        <v>30</v>
      </c>
      <c r="E411" s="11" t="s">
        <v>26</v>
      </c>
      <c r="F411" s="13"/>
      <c r="G411" s="13"/>
      <c r="H411" s="11"/>
      <c r="I411" s="13">
        <f t="shared" si="148"/>
        <v>0</v>
      </c>
      <c r="J411" s="13">
        <v>0</v>
      </c>
      <c r="K411" s="13">
        <f t="shared" si="149"/>
        <v>0</v>
      </c>
      <c r="L411" s="13">
        <f t="shared" si="150"/>
        <v>0</v>
      </c>
      <c r="M411" s="13">
        <f t="shared" si="151"/>
        <v>0</v>
      </c>
      <c r="O411" s="7"/>
      <c r="P411" s="11"/>
      <c r="Q411" s="11"/>
    </row>
    <row r="412" spans="1:17" x14ac:dyDescent="0.3">
      <c r="A412" s="7" t="str">
        <f t="shared" si="147"/>
        <v>WMT</v>
      </c>
      <c r="B412" s="13">
        <v>2297</v>
      </c>
      <c r="D412" s="11" t="s">
        <v>32</v>
      </c>
      <c r="E412" s="11" t="s">
        <v>26</v>
      </c>
      <c r="F412" s="13">
        <v>4.3</v>
      </c>
      <c r="G412" s="13">
        <f>+B414/1000*F412</f>
        <v>9.7882060999999982</v>
      </c>
      <c r="H412" s="12">
        <f>+MAX(0,(F412-18)/F412)</f>
        <v>0</v>
      </c>
      <c r="I412" s="13">
        <f t="shared" si="148"/>
        <v>0</v>
      </c>
      <c r="J412" s="13">
        <f>+$M$1</f>
        <v>1569</v>
      </c>
      <c r="K412" s="13">
        <f t="shared" si="149"/>
        <v>14</v>
      </c>
      <c r="L412" s="13">
        <f t="shared" si="150"/>
        <v>1555</v>
      </c>
      <c r="M412" s="13">
        <f t="shared" si="151"/>
        <v>0</v>
      </c>
      <c r="O412" s="7"/>
      <c r="P412" s="11"/>
      <c r="Q412" s="11"/>
    </row>
    <row r="413" spans="1:17" x14ac:dyDescent="0.3">
      <c r="A413" s="7" t="str">
        <f t="shared" si="147"/>
        <v>Moisture</v>
      </c>
      <c r="B413" s="15">
        <v>8.9999999999999993E-3</v>
      </c>
      <c r="D413" s="11"/>
      <c r="E413" s="11"/>
      <c r="F413" s="11"/>
      <c r="G413" s="13"/>
      <c r="H413" s="11"/>
      <c r="I413" s="11"/>
      <c r="J413" s="13"/>
      <c r="K413" s="13"/>
      <c r="L413" s="13"/>
      <c r="M413" s="13"/>
      <c r="O413" s="7"/>
      <c r="P413" s="11"/>
      <c r="Q413" s="11"/>
    </row>
    <row r="414" spans="1:17" x14ac:dyDescent="0.3">
      <c r="A414" s="7" t="str">
        <f t="shared" si="147"/>
        <v>DMT</v>
      </c>
      <c r="B414" s="13">
        <f>+B412*(1-B413)</f>
        <v>2276.3269999999998</v>
      </c>
      <c r="D414" s="11"/>
      <c r="E414" s="11"/>
      <c r="F414" s="11"/>
      <c r="G414" s="13"/>
      <c r="H414" s="11"/>
      <c r="I414" s="11"/>
      <c r="J414" s="13"/>
      <c r="K414" s="13"/>
      <c r="L414" s="13"/>
      <c r="M414" s="13"/>
      <c r="O414" s="7" t="s">
        <v>35</v>
      </c>
      <c r="P414" s="13">
        <v>0</v>
      </c>
      <c r="Q414" s="13">
        <v>0</v>
      </c>
    </row>
    <row r="415" spans="1:17" x14ac:dyDescent="0.3">
      <c r="A415" s="7" t="str">
        <f t="shared" si="147"/>
        <v>Resultado USD / Kg</v>
      </c>
      <c r="B415" s="13">
        <f>+U417/B412</f>
        <v>0</v>
      </c>
      <c r="D415" s="11"/>
      <c r="E415" s="11"/>
      <c r="F415" s="11"/>
      <c r="G415" s="13"/>
      <c r="H415" s="11"/>
      <c r="I415" s="11"/>
      <c r="J415" s="13"/>
      <c r="K415" s="13"/>
      <c r="L415" s="13"/>
      <c r="M415" s="13"/>
      <c r="O415" s="7" t="s">
        <v>37</v>
      </c>
      <c r="P415" s="13">
        <v>0</v>
      </c>
      <c r="Q415" s="13">
        <v>0</v>
      </c>
    </row>
    <row r="416" spans="1:17" x14ac:dyDescent="0.3">
      <c r="A416" s="16" t="s">
        <v>39</v>
      </c>
      <c r="B416" s="13"/>
      <c r="D416" s="11"/>
      <c r="E416" s="11"/>
      <c r="F416" s="11"/>
      <c r="G416" s="13"/>
      <c r="H416" s="11"/>
      <c r="I416" s="11"/>
      <c r="J416" s="13"/>
      <c r="K416" s="13"/>
      <c r="L416" s="13"/>
      <c r="M416" s="13"/>
      <c r="O416" s="7"/>
      <c r="P416" s="11"/>
      <c r="Q416" s="11"/>
    </row>
    <row r="417" spans="1:17" x14ac:dyDescent="0.3">
      <c r="D417" s="11"/>
      <c r="E417" s="11"/>
      <c r="F417" s="11"/>
      <c r="G417" s="13"/>
      <c r="H417" s="11"/>
      <c r="I417" s="11"/>
      <c r="J417" s="13"/>
      <c r="K417" s="13"/>
      <c r="L417" s="13"/>
      <c r="M417" s="13"/>
      <c r="O417" s="7"/>
      <c r="P417" s="11"/>
      <c r="Q417" s="11"/>
    </row>
    <row r="419" spans="1:17" x14ac:dyDescent="0.3">
      <c r="A419" s="6" t="s">
        <v>5</v>
      </c>
      <c r="B419" s="6"/>
      <c r="D419" s="6" t="s">
        <v>6</v>
      </c>
      <c r="E419" s="6"/>
      <c r="F419" s="6"/>
      <c r="G419" s="6"/>
      <c r="H419" s="6"/>
      <c r="I419" s="6"/>
      <c r="J419" s="6"/>
      <c r="K419" s="6"/>
      <c r="L419" s="6"/>
      <c r="M419" s="6"/>
      <c r="O419" s="6" t="s">
        <v>7</v>
      </c>
      <c r="P419" s="6"/>
      <c r="Q419" s="6"/>
    </row>
    <row r="420" spans="1:17" x14ac:dyDescent="0.3">
      <c r="A420" s="7" t="str">
        <f>+A407</f>
        <v>Arrival date</v>
      </c>
      <c r="B420" s="8">
        <f>+B407</f>
        <v>45979</v>
      </c>
      <c r="D420" s="6" t="s">
        <v>9</v>
      </c>
      <c r="E420" s="6"/>
      <c r="F420" s="6"/>
      <c r="G420" s="9" t="s">
        <v>10</v>
      </c>
      <c r="H420" s="9" t="s">
        <v>11</v>
      </c>
      <c r="I420" s="9" t="s">
        <v>12</v>
      </c>
      <c r="J420" s="9" t="s">
        <v>13</v>
      </c>
      <c r="K420" s="9" t="s">
        <v>14</v>
      </c>
      <c r="L420" s="9" t="s">
        <v>15</v>
      </c>
      <c r="M420" s="9" t="s">
        <v>16</v>
      </c>
      <c r="N420" s="10"/>
      <c r="O420" s="9" t="s">
        <v>17</v>
      </c>
      <c r="P420" s="9" t="s">
        <v>18</v>
      </c>
      <c r="Q420" s="9" t="s">
        <v>16</v>
      </c>
    </row>
    <row r="421" spans="1:17" x14ac:dyDescent="0.3">
      <c r="A421" s="7" t="str">
        <f t="shared" ref="A421:A428" si="152">+A408</f>
        <v>Receptive date</v>
      </c>
      <c r="B421" s="8">
        <f>+B420</f>
        <v>45979</v>
      </c>
      <c r="D421" s="11" t="s">
        <v>20</v>
      </c>
      <c r="E421" s="11" t="s">
        <v>21</v>
      </c>
      <c r="F421" s="12">
        <v>0.24030000000000001</v>
      </c>
      <c r="G421" s="13">
        <f>+F421*B427</f>
        <v>305.08968599999997</v>
      </c>
      <c r="H421" s="12">
        <f>+IF(F421&gt;=20,(F421-3%)/F421,IF(F421&gt;=23,(F421-5.16%)/F421,(F421-3%)/F421))</f>
        <v>0.87515605493133586</v>
      </c>
      <c r="I421" s="13">
        <f>+G421*H421</f>
        <v>267.00108599999999</v>
      </c>
      <c r="J421" s="13">
        <f>+$G$1</f>
        <v>11803.79</v>
      </c>
      <c r="K421" s="13">
        <f>+K408</f>
        <v>300</v>
      </c>
      <c r="L421" s="13">
        <f>+J421-K421</f>
        <v>11503.79</v>
      </c>
      <c r="M421" s="13">
        <f>+I421*L421/1000</f>
        <v>3071.5244231159404</v>
      </c>
      <c r="O421" s="7" t="s">
        <v>22</v>
      </c>
      <c r="P421" s="14" t="s">
        <v>23</v>
      </c>
      <c r="Q421" s="17">
        <f>600*B427/1000</f>
        <v>761.77199999999993</v>
      </c>
    </row>
    <row r="422" spans="1:17" x14ac:dyDescent="0.3">
      <c r="A422" s="7" t="str">
        <f t="shared" si="152"/>
        <v>Customer lot No.</v>
      </c>
      <c r="B422" s="14" t="s">
        <v>74</v>
      </c>
      <c r="D422" s="11" t="s">
        <v>25</v>
      </c>
      <c r="E422" s="11" t="s">
        <v>26</v>
      </c>
      <c r="F422" s="13">
        <v>178.1</v>
      </c>
      <c r="G422" s="13">
        <f>+B427/1000*F422</f>
        <v>226.11932199999998</v>
      </c>
      <c r="H422" s="12">
        <f>+MIN(0.96,(F422-7)/F422)</f>
        <v>0.96</v>
      </c>
      <c r="I422" s="13">
        <f t="shared" ref="I422:I425" si="153">+G422*H422</f>
        <v>217.07454911999997</v>
      </c>
      <c r="J422" s="13">
        <f>+$I$1</f>
        <v>4500</v>
      </c>
      <c r="K422" s="13">
        <f t="shared" ref="K422:K425" si="154">+K409</f>
        <v>5</v>
      </c>
      <c r="L422" s="13">
        <f t="shared" ref="L422:L425" si="155">+J422-K422</f>
        <v>4495</v>
      </c>
      <c r="M422" s="13">
        <f>+I422*L422/31.1034768</f>
        <v>31371.094124577092</v>
      </c>
      <c r="O422" s="7" t="s">
        <v>27</v>
      </c>
      <c r="P422" s="11">
        <v>100</v>
      </c>
      <c r="Q422" s="11">
        <f>+B425*P422/1000</f>
        <v>127.6</v>
      </c>
    </row>
    <row r="423" spans="1:17" x14ac:dyDescent="0.3">
      <c r="A423" s="7" t="str">
        <f t="shared" si="152"/>
        <v>Lot No. (JX)</v>
      </c>
      <c r="B423" s="11">
        <v>1514</v>
      </c>
      <c r="D423" s="11" t="s">
        <v>29</v>
      </c>
      <c r="E423" s="11" t="s">
        <v>26</v>
      </c>
      <c r="F423" s="13">
        <v>848</v>
      </c>
      <c r="G423" s="13">
        <f>+B427/1000*F423</f>
        <v>1076.6377600000001</v>
      </c>
      <c r="H423" s="12">
        <f>+MIN(0.95,MAX(0,(F423-100)/F423))</f>
        <v>0.88207547169811318</v>
      </c>
      <c r="I423" s="13">
        <f t="shared" si="153"/>
        <v>949.67576000000008</v>
      </c>
      <c r="J423" s="13">
        <f>+$K$1</f>
        <v>64.34</v>
      </c>
      <c r="K423" s="13">
        <f t="shared" si="154"/>
        <v>0.5</v>
      </c>
      <c r="L423" s="13">
        <f t="shared" si="155"/>
        <v>63.84</v>
      </c>
      <c r="M423" s="13">
        <f t="shared" ref="M423:M425" si="156">+I423*L423/31.1034768</f>
        <v>1949.2129741071265</v>
      </c>
      <c r="O423" s="7"/>
      <c r="P423" s="11"/>
      <c r="Q423" s="11"/>
    </row>
    <row r="424" spans="1:17" x14ac:dyDescent="0.3">
      <c r="A424" s="7"/>
      <c r="B424" s="11"/>
      <c r="D424" s="11" t="s">
        <v>30</v>
      </c>
      <c r="E424" s="11" t="s">
        <v>26</v>
      </c>
      <c r="F424" s="13"/>
      <c r="G424" s="13"/>
      <c r="H424" s="11"/>
      <c r="I424" s="13">
        <f t="shared" si="153"/>
        <v>0</v>
      </c>
      <c r="J424" s="13">
        <v>0</v>
      </c>
      <c r="K424" s="13">
        <f t="shared" si="154"/>
        <v>0</v>
      </c>
      <c r="L424" s="13">
        <f t="shared" si="155"/>
        <v>0</v>
      </c>
      <c r="M424" s="13">
        <f t="shared" si="156"/>
        <v>0</v>
      </c>
      <c r="O424" s="7"/>
      <c r="P424" s="11"/>
      <c r="Q424" s="11"/>
    </row>
    <row r="425" spans="1:17" x14ac:dyDescent="0.3">
      <c r="A425" s="7" t="str">
        <f t="shared" si="152"/>
        <v>WMT</v>
      </c>
      <c r="B425" s="13">
        <v>1276</v>
      </c>
      <c r="D425" s="11" t="s">
        <v>32</v>
      </c>
      <c r="E425" s="11" t="s">
        <v>26</v>
      </c>
      <c r="F425" s="13">
        <v>26.8</v>
      </c>
      <c r="G425" s="13">
        <f>+B427/1000*F425</f>
        <v>34.025815999999999</v>
      </c>
      <c r="H425" s="12">
        <f>+MAX(0,(F425-18)/F425)</f>
        <v>0.32835820895522388</v>
      </c>
      <c r="I425" s="13">
        <f t="shared" si="153"/>
        <v>11.172656</v>
      </c>
      <c r="J425" s="13">
        <f>+$M$1</f>
        <v>1569</v>
      </c>
      <c r="K425" s="13">
        <f t="shared" si="154"/>
        <v>14</v>
      </c>
      <c r="L425" s="13">
        <f t="shared" si="155"/>
        <v>1555</v>
      </c>
      <c r="M425" s="13">
        <f t="shared" si="156"/>
        <v>558.5703550671866</v>
      </c>
      <c r="O425" s="7"/>
      <c r="P425" s="11"/>
      <c r="Q425" s="11"/>
    </row>
    <row r="426" spans="1:17" x14ac:dyDescent="0.3">
      <c r="A426" s="7" t="str">
        <f t="shared" si="152"/>
        <v>Moisture</v>
      </c>
      <c r="B426" s="15">
        <v>5.0000000000000001E-3</v>
      </c>
      <c r="D426" s="11"/>
      <c r="E426" s="11"/>
      <c r="F426" s="11"/>
      <c r="G426" s="13"/>
      <c r="H426" s="11"/>
      <c r="I426" s="11"/>
      <c r="J426" s="13"/>
      <c r="K426" s="13"/>
      <c r="L426" s="13"/>
      <c r="M426" s="13"/>
      <c r="O426" s="7"/>
      <c r="P426" s="11"/>
      <c r="Q426" s="11"/>
    </row>
    <row r="427" spans="1:17" x14ac:dyDescent="0.3">
      <c r="A427" s="7" t="str">
        <f t="shared" si="152"/>
        <v>DMT</v>
      </c>
      <c r="B427" s="13">
        <f>+B425*(1-B426)</f>
        <v>1269.6199999999999</v>
      </c>
      <c r="D427" s="11"/>
      <c r="E427" s="11"/>
      <c r="F427" s="11"/>
      <c r="G427" s="13"/>
      <c r="H427" s="11"/>
      <c r="I427" s="11"/>
      <c r="J427" s="13"/>
      <c r="K427" s="13"/>
      <c r="L427" s="13"/>
      <c r="M427" s="13"/>
      <c r="O427" s="7" t="s">
        <v>35</v>
      </c>
      <c r="P427" s="13">
        <v>0</v>
      </c>
      <c r="Q427" s="13">
        <v>0</v>
      </c>
    </row>
    <row r="428" spans="1:17" x14ac:dyDescent="0.3">
      <c r="A428" s="7" t="str">
        <f t="shared" si="152"/>
        <v>Resultado USD / Kg</v>
      </c>
      <c r="B428" s="13">
        <f>+U430/B425</f>
        <v>0</v>
      </c>
      <c r="D428" s="11"/>
      <c r="E428" s="11"/>
      <c r="F428" s="11"/>
      <c r="G428" s="13"/>
      <c r="H428" s="11"/>
      <c r="I428" s="11"/>
      <c r="J428" s="13"/>
      <c r="K428" s="13"/>
      <c r="L428" s="13"/>
      <c r="M428" s="13"/>
      <c r="O428" s="7" t="s">
        <v>37</v>
      </c>
      <c r="P428" s="13">
        <v>0</v>
      </c>
      <c r="Q428" s="13">
        <v>0</v>
      </c>
    </row>
    <row r="429" spans="1:17" x14ac:dyDescent="0.3">
      <c r="A429" s="18" t="s">
        <v>43</v>
      </c>
      <c r="B429" s="13"/>
      <c r="D429" s="11"/>
      <c r="E429" s="11"/>
      <c r="F429" s="11"/>
      <c r="G429" s="13"/>
      <c r="H429" s="11"/>
      <c r="I429" s="11"/>
      <c r="J429" s="13"/>
      <c r="K429" s="13"/>
      <c r="L429" s="13"/>
      <c r="M429" s="13"/>
      <c r="O429" s="7"/>
      <c r="P429" s="11"/>
      <c r="Q429" s="11"/>
    </row>
    <row r="430" spans="1:17" x14ac:dyDescent="0.3">
      <c r="D430" s="11"/>
      <c r="E430" s="11"/>
      <c r="F430" s="11"/>
      <c r="G430" s="13"/>
      <c r="H430" s="11"/>
      <c r="I430" s="11"/>
      <c r="J430" s="13"/>
      <c r="K430" s="13"/>
      <c r="L430" s="13"/>
      <c r="M430" s="13"/>
      <c r="O430" s="7"/>
      <c r="P430" s="11"/>
      <c r="Q430" s="11"/>
    </row>
    <row r="432" spans="1:17" x14ac:dyDescent="0.3">
      <c r="A432" s="6" t="s">
        <v>5</v>
      </c>
      <c r="B432" s="6"/>
      <c r="D432" s="6" t="s">
        <v>6</v>
      </c>
      <c r="E432" s="6"/>
      <c r="F432" s="6"/>
      <c r="G432" s="6"/>
      <c r="H432" s="6"/>
      <c r="I432" s="6"/>
      <c r="J432" s="6"/>
      <c r="K432" s="6"/>
      <c r="L432" s="6"/>
      <c r="M432" s="6"/>
      <c r="O432" s="6" t="s">
        <v>7</v>
      </c>
      <c r="P432" s="6"/>
      <c r="Q432" s="6"/>
    </row>
    <row r="433" spans="1:17" x14ac:dyDescent="0.3">
      <c r="A433" s="7" t="str">
        <f>+A420</f>
        <v>Arrival date</v>
      </c>
      <c r="B433" s="8">
        <f>+B420</f>
        <v>45979</v>
      </c>
      <c r="D433" s="6" t="s">
        <v>9</v>
      </c>
      <c r="E433" s="6"/>
      <c r="F433" s="6"/>
      <c r="G433" s="9" t="s">
        <v>10</v>
      </c>
      <c r="H433" s="9" t="s">
        <v>11</v>
      </c>
      <c r="I433" s="9" t="s">
        <v>12</v>
      </c>
      <c r="J433" s="9" t="s">
        <v>13</v>
      </c>
      <c r="K433" s="9" t="s">
        <v>14</v>
      </c>
      <c r="L433" s="9" t="s">
        <v>15</v>
      </c>
      <c r="M433" s="9" t="s">
        <v>16</v>
      </c>
      <c r="N433" s="10"/>
      <c r="O433" s="9" t="s">
        <v>17</v>
      </c>
      <c r="P433" s="9" t="s">
        <v>18</v>
      </c>
      <c r="Q433" s="9" t="s">
        <v>16</v>
      </c>
    </row>
    <row r="434" spans="1:17" x14ac:dyDescent="0.3">
      <c r="A434" s="7" t="str">
        <f t="shared" ref="A434:A441" si="157">+A421</f>
        <v>Receptive date</v>
      </c>
      <c r="B434" s="8">
        <f>+B433</f>
        <v>45979</v>
      </c>
      <c r="D434" s="11" t="s">
        <v>20</v>
      </c>
      <c r="E434" s="11" t="s">
        <v>21</v>
      </c>
      <c r="F434" s="12">
        <v>0.18179999999999999</v>
      </c>
      <c r="G434" s="13">
        <f>+F434*B440</f>
        <v>65.153483999999992</v>
      </c>
      <c r="H434" s="12">
        <f>+IF(F434&gt;=20,(F434-3%)/F434,IF(F434&gt;=23,(F434-5.16%)/F434,(F434-3%)/F434))</f>
        <v>0.83498349834983498</v>
      </c>
      <c r="I434" s="13">
        <f>+G434*H434</f>
        <v>54.402083999999995</v>
      </c>
      <c r="J434" s="13">
        <f>+$G$1</f>
        <v>11803.79</v>
      </c>
      <c r="K434" s="13">
        <f>+K421</f>
        <v>300</v>
      </c>
      <c r="L434" s="13">
        <f>+J434-K434</f>
        <v>11503.79</v>
      </c>
      <c r="M434" s="13">
        <f>+I434*L434/1000</f>
        <v>625.83014989835999</v>
      </c>
      <c r="O434" s="7" t="s">
        <v>22</v>
      </c>
      <c r="P434" s="14" t="s">
        <v>23</v>
      </c>
      <c r="Q434" s="17">
        <f>600*B440/1000</f>
        <v>215.02799999999999</v>
      </c>
    </row>
    <row r="435" spans="1:17" x14ac:dyDescent="0.3">
      <c r="A435" s="7" t="str">
        <f t="shared" si="157"/>
        <v>Customer lot No.</v>
      </c>
      <c r="B435" s="14" t="s">
        <v>55</v>
      </c>
      <c r="D435" s="11" t="s">
        <v>25</v>
      </c>
      <c r="E435" s="11" t="s">
        <v>26</v>
      </c>
      <c r="F435" s="13">
        <v>217</v>
      </c>
      <c r="G435" s="13">
        <f>+B440/1000*F435</f>
        <v>77.76845999999999</v>
      </c>
      <c r="H435" s="12">
        <f>+MIN(0.96,(F435-7)/F435)</f>
        <v>0.96</v>
      </c>
      <c r="I435" s="13">
        <f t="shared" ref="I435:I438" si="158">+G435*H435</f>
        <v>74.657721599999988</v>
      </c>
      <c r="J435" s="13">
        <f>+$I$1</f>
        <v>4500</v>
      </c>
      <c r="K435" s="13">
        <f t="shared" ref="K435:K438" si="159">+K422</f>
        <v>5</v>
      </c>
      <c r="L435" s="13">
        <f t="shared" ref="L435:L438" si="160">+J435-K435</f>
        <v>4495</v>
      </c>
      <c r="M435" s="13">
        <f>+I435*L435/31.1034768</f>
        <v>10789.355182054758</v>
      </c>
      <c r="O435" s="7" t="s">
        <v>27</v>
      </c>
      <c r="P435" s="11">
        <v>100</v>
      </c>
      <c r="Q435" s="11">
        <f>+B438*P435/1000</f>
        <v>36.200000000000003</v>
      </c>
    </row>
    <row r="436" spans="1:17" x14ac:dyDescent="0.3">
      <c r="A436" s="7" t="str">
        <f t="shared" si="157"/>
        <v>Lot No. (JX)</v>
      </c>
      <c r="B436" s="11">
        <v>1515</v>
      </c>
      <c r="D436" s="11" t="s">
        <v>29</v>
      </c>
      <c r="E436" s="11" t="s">
        <v>26</v>
      </c>
      <c r="F436" s="13">
        <v>2925</v>
      </c>
      <c r="G436" s="13">
        <f>+B440/1000*F436</f>
        <v>1048.2614999999998</v>
      </c>
      <c r="H436" s="12">
        <f>+MIN(0.95,MAX(0,(F436-100)/F436))</f>
        <v>0.95</v>
      </c>
      <c r="I436" s="13">
        <f t="shared" si="158"/>
        <v>995.84842499999979</v>
      </c>
      <c r="J436" s="13">
        <f>+$K$1</f>
        <v>64.34</v>
      </c>
      <c r="K436" s="13">
        <f t="shared" si="159"/>
        <v>0.5</v>
      </c>
      <c r="L436" s="13">
        <f t="shared" si="160"/>
        <v>63.84</v>
      </c>
      <c r="M436" s="13">
        <f t="shared" ref="M436:M438" si="161">+I436*L436/31.1034768</f>
        <v>2043.982538055038</v>
      </c>
      <c r="O436" s="7"/>
      <c r="P436" s="11"/>
      <c r="Q436" s="11"/>
    </row>
    <row r="437" spans="1:17" x14ac:dyDescent="0.3">
      <c r="A437" s="7"/>
      <c r="B437" s="11"/>
      <c r="D437" s="11" t="s">
        <v>30</v>
      </c>
      <c r="E437" s="11" t="s">
        <v>26</v>
      </c>
      <c r="F437" s="13"/>
      <c r="G437" s="13"/>
      <c r="H437" s="11"/>
      <c r="I437" s="13">
        <f t="shared" si="158"/>
        <v>0</v>
      </c>
      <c r="J437" s="13">
        <v>0</v>
      </c>
      <c r="K437" s="13">
        <f t="shared" si="159"/>
        <v>0</v>
      </c>
      <c r="L437" s="13">
        <f t="shared" si="160"/>
        <v>0</v>
      </c>
      <c r="M437" s="13">
        <f t="shared" si="161"/>
        <v>0</v>
      </c>
      <c r="O437" s="7"/>
      <c r="P437" s="11"/>
      <c r="Q437" s="11"/>
    </row>
    <row r="438" spans="1:17" x14ac:dyDescent="0.3">
      <c r="A438" s="7" t="str">
        <f t="shared" si="157"/>
        <v>WMT</v>
      </c>
      <c r="B438" s="13">
        <v>362</v>
      </c>
      <c r="D438" s="11" t="s">
        <v>32</v>
      </c>
      <c r="E438" s="11" t="s">
        <v>26</v>
      </c>
      <c r="F438" s="13">
        <v>17.3</v>
      </c>
      <c r="G438" s="13">
        <f>+B440/1000*F438</f>
        <v>6.1999740000000001</v>
      </c>
      <c r="H438" s="12">
        <f>+MAX(0,(F438-18)/F438)</f>
        <v>0</v>
      </c>
      <c r="I438" s="13">
        <f t="shared" si="158"/>
        <v>0</v>
      </c>
      <c r="J438" s="13">
        <f>+$M$1</f>
        <v>1569</v>
      </c>
      <c r="K438" s="13">
        <f t="shared" si="159"/>
        <v>14</v>
      </c>
      <c r="L438" s="13">
        <f t="shared" si="160"/>
        <v>1555</v>
      </c>
      <c r="M438" s="13">
        <f t="shared" si="161"/>
        <v>0</v>
      </c>
      <c r="O438" s="7"/>
      <c r="P438" s="11"/>
      <c r="Q438" s="11"/>
    </row>
    <row r="439" spans="1:17" x14ac:dyDescent="0.3">
      <c r="A439" s="7" t="str">
        <f t="shared" si="157"/>
        <v>Moisture</v>
      </c>
      <c r="B439" s="15">
        <v>0.01</v>
      </c>
      <c r="D439" s="11"/>
      <c r="E439" s="11"/>
      <c r="F439" s="11"/>
      <c r="G439" s="13"/>
      <c r="H439" s="11"/>
      <c r="I439" s="11"/>
      <c r="J439" s="13"/>
      <c r="K439" s="13"/>
      <c r="L439" s="13"/>
      <c r="M439" s="13"/>
      <c r="O439" s="7"/>
      <c r="P439" s="11"/>
      <c r="Q439" s="11"/>
    </row>
    <row r="440" spans="1:17" x14ac:dyDescent="0.3">
      <c r="A440" s="7" t="str">
        <f t="shared" si="157"/>
        <v>DMT</v>
      </c>
      <c r="B440" s="13">
        <f>+B438*(1-B439)</f>
        <v>358.38</v>
      </c>
      <c r="D440" s="11"/>
      <c r="E440" s="11"/>
      <c r="F440" s="11"/>
      <c r="G440" s="13"/>
      <c r="H440" s="11"/>
      <c r="I440" s="11"/>
      <c r="J440" s="13"/>
      <c r="K440" s="13"/>
      <c r="L440" s="13"/>
      <c r="M440" s="13"/>
      <c r="O440" s="7" t="s">
        <v>35</v>
      </c>
      <c r="P440" s="13">
        <v>0</v>
      </c>
      <c r="Q440" s="13">
        <v>0</v>
      </c>
    </row>
    <row r="441" spans="1:17" x14ac:dyDescent="0.3">
      <c r="A441" s="7" t="str">
        <f t="shared" si="157"/>
        <v>Resultado USD / Kg</v>
      </c>
      <c r="B441" s="13">
        <f>+U443/B438</f>
        <v>0</v>
      </c>
      <c r="D441" s="11"/>
      <c r="E441" s="11"/>
      <c r="F441" s="11"/>
      <c r="G441" s="13"/>
      <c r="H441" s="11"/>
      <c r="I441" s="11"/>
      <c r="J441" s="13"/>
      <c r="K441" s="13"/>
      <c r="L441" s="13"/>
      <c r="M441" s="13"/>
      <c r="O441" s="7" t="s">
        <v>37</v>
      </c>
      <c r="P441" s="13">
        <v>0</v>
      </c>
      <c r="Q441" s="13">
        <v>0</v>
      </c>
    </row>
    <row r="442" spans="1:17" x14ac:dyDescent="0.3">
      <c r="A442" s="18" t="s">
        <v>40</v>
      </c>
      <c r="B442" s="13"/>
      <c r="D442" s="11"/>
      <c r="E442" s="11"/>
      <c r="F442" s="11"/>
      <c r="G442" s="13"/>
      <c r="H442" s="11"/>
      <c r="I442" s="11"/>
      <c r="J442" s="13"/>
      <c r="K442" s="13"/>
      <c r="L442" s="13"/>
      <c r="M442" s="13"/>
      <c r="O442" s="7"/>
      <c r="P442" s="11"/>
      <c r="Q442" s="11"/>
    </row>
    <row r="443" spans="1:17" x14ac:dyDescent="0.3">
      <c r="D443" s="11"/>
      <c r="E443" s="11"/>
      <c r="F443" s="11"/>
      <c r="G443" s="13"/>
      <c r="H443" s="11"/>
      <c r="I443" s="11"/>
      <c r="J443" s="13"/>
      <c r="K443" s="13"/>
      <c r="L443" s="13"/>
      <c r="M443" s="13"/>
      <c r="O443" s="7"/>
      <c r="P443" s="11"/>
      <c r="Q443" s="11"/>
    </row>
    <row r="445" spans="1:17" x14ac:dyDescent="0.3">
      <c r="A445" s="6" t="s">
        <v>5</v>
      </c>
      <c r="B445" s="6"/>
      <c r="D445" s="6" t="s">
        <v>6</v>
      </c>
      <c r="E445" s="6"/>
      <c r="F445" s="6"/>
      <c r="G445" s="6"/>
      <c r="H445" s="6"/>
      <c r="I445" s="6"/>
      <c r="J445" s="6"/>
      <c r="K445" s="6"/>
      <c r="L445" s="6"/>
      <c r="M445" s="6"/>
      <c r="O445" s="6" t="s">
        <v>7</v>
      </c>
      <c r="P445" s="6"/>
      <c r="Q445" s="6"/>
    </row>
    <row r="446" spans="1:17" x14ac:dyDescent="0.3">
      <c r="A446" s="7" t="str">
        <f>+A433</f>
        <v>Arrival date</v>
      </c>
      <c r="B446" s="8">
        <v>45982</v>
      </c>
      <c r="D446" s="6" t="s">
        <v>9</v>
      </c>
      <c r="E446" s="6"/>
      <c r="F446" s="6"/>
      <c r="G446" s="9" t="s">
        <v>10</v>
      </c>
      <c r="H446" s="9" t="s">
        <v>11</v>
      </c>
      <c r="I446" s="9" t="s">
        <v>12</v>
      </c>
      <c r="J446" s="9" t="s">
        <v>13</v>
      </c>
      <c r="K446" s="9" t="s">
        <v>14</v>
      </c>
      <c r="L446" s="9" t="s">
        <v>15</v>
      </c>
      <c r="M446" s="9" t="s">
        <v>16</v>
      </c>
      <c r="N446" s="10"/>
      <c r="O446" s="9" t="s">
        <v>17</v>
      </c>
      <c r="P446" s="9" t="s">
        <v>18</v>
      </c>
      <c r="Q446" s="9" t="s">
        <v>16</v>
      </c>
    </row>
    <row r="447" spans="1:17" x14ac:dyDescent="0.3">
      <c r="A447" s="7" t="str">
        <f t="shared" ref="A447:A454" si="162">+A434</f>
        <v>Receptive date</v>
      </c>
      <c r="B447" s="8">
        <f>+B446</f>
        <v>45982</v>
      </c>
      <c r="D447" s="11" t="s">
        <v>20</v>
      </c>
      <c r="E447" s="11" t="s">
        <v>21</v>
      </c>
      <c r="F447" s="12">
        <v>0.37640000000000001</v>
      </c>
      <c r="G447" s="13">
        <f>+F447*B453</f>
        <v>18.406712800000001</v>
      </c>
      <c r="H447" s="12">
        <f>+IF(F447&gt;=20,(F447-3%)/F447,IF(F447&gt;=23,(F447-5.16%)/F447,(F447-3%)/F447))</f>
        <v>0.92029755579171102</v>
      </c>
      <c r="I447" s="13">
        <f>+G447*H447</f>
        <v>16.939652800000001</v>
      </c>
      <c r="J447" s="13">
        <f>+$G$1</f>
        <v>11803.79</v>
      </c>
      <c r="K447" s="13">
        <f>+K434</f>
        <v>300</v>
      </c>
      <c r="L447" s="13">
        <f>+J447-K447</f>
        <v>11503.79</v>
      </c>
      <c r="M447" s="13">
        <f>+I447*L447/1000</f>
        <v>194.87020848411203</v>
      </c>
      <c r="O447" s="7" t="s">
        <v>22</v>
      </c>
      <c r="P447" s="14" t="s">
        <v>23</v>
      </c>
      <c r="Q447" s="17">
        <f>600*B453/1000</f>
        <v>29.341200000000001</v>
      </c>
    </row>
    <row r="448" spans="1:17" x14ac:dyDescent="0.3">
      <c r="A448" s="7" t="str">
        <f t="shared" si="162"/>
        <v>Customer lot No.</v>
      </c>
      <c r="B448" s="14" t="s">
        <v>57</v>
      </c>
      <c r="D448" s="11" t="s">
        <v>25</v>
      </c>
      <c r="E448" s="11" t="s">
        <v>26</v>
      </c>
      <c r="F448" s="13">
        <v>1095.0999999999999</v>
      </c>
      <c r="G448" s="13">
        <f>+B453/1000*F448</f>
        <v>53.552580199999994</v>
      </c>
      <c r="H448" s="12">
        <f>+MIN(0.96,(F448-7)/F448)</f>
        <v>0.96</v>
      </c>
      <c r="I448" s="13">
        <f t="shared" ref="I448:I451" si="163">+G448*H448</f>
        <v>51.410476991999992</v>
      </c>
      <c r="J448" s="13">
        <f>+$I$1</f>
        <v>4500</v>
      </c>
      <c r="K448" s="13">
        <f t="shared" ref="K448:K451" si="164">+K435</f>
        <v>5</v>
      </c>
      <c r="L448" s="13">
        <f t="shared" ref="L448:L451" si="165">+J448-K448</f>
        <v>4495</v>
      </c>
      <c r="M448" s="13">
        <f>+I448*L448/31.1034768</f>
        <v>7429.719049255611</v>
      </c>
      <c r="O448" s="7" t="s">
        <v>27</v>
      </c>
      <c r="P448" s="11">
        <v>100</v>
      </c>
      <c r="Q448" s="11">
        <f>+B451*P448/1000</f>
        <v>4.9000000000000004</v>
      </c>
    </row>
    <row r="449" spans="1:17" x14ac:dyDescent="0.3">
      <c r="A449" s="7" t="str">
        <f t="shared" si="162"/>
        <v>Lot No. (JX)</v>
      </c>
      <c r="B449" s="11">
        <v>2286</v>
      </c>
      <c r="D449" s="11" t="s">
        <v>29</v>
      </c>
      <c r="E449" s="11" t="s">
        <v>26</v>
      </c>
      <c r="F449" s="13">
        <v>176</v>
      </c>
      <c r="G449" s="13">
        <f>+B453/1000*F449</f>
        <v>8.6067520000000002</v>
      </c>
      <c r="H449" s="12">
        <f>+MIN(0.95,MAX(0,(F449-100)/F449))</f>
        <v>0.43181818181818182</v>
      </c>
      <c r="I449" s="13">
        <f t="shared" si="163"/>
        <v>3.7165520000000001</v>
      </c>
      <c r="J449" s="13">
        <f>+$K$1</f>
        <v>64.34</v>
      </c>
      <c r="K449" s="13">
        <f t="shared" si="164"/>
        <v>0.5</v>
      </c>
      <c r="L449" s="13">
        <f t="shared" si="165"/>
        <v>63.84</v>
      </c>
      <c r="M449" s="13">
        <f t="shared" ref="M449:M451" si="166">+I449*L449/31.1034768</f>
        <v>7.6282365860783781</v>
      </c>
      <c r="O449" s="7"/>
      <c r="P449" s="11"/>
      <c r="Q449" s="11"/>
    </row>
    <row r="450" spans="1:17" x14ac:dyDescent="0.3">
      <c r="A450" s="7"/>
      <c r="B450" s="11"/>
      <c r="D450" s="11" t="s">
        <v>30</v>
      </c>
      <c r="E450" s="11" t="s">
        <v>26</v>
      </c>
      <c r="F450" s="13"/>
      <c r="G450" s="13"/>
      <c r="H450" s="11"/>
      <c r="I450" s="13">
        <f t="shared" si="163"/>
        <v>0</v>
      </c>
      <c r="J450" s="13">
        <v>0</v>
      </c>
      <c r="K450" s="13">
        <f t="shared" si="164"/>
        <v>0</v>
      </c>
      <c r="L450" s="13">
        <f t="shared" si="165"/>
        <v>0</v>
      </c>
      <c r="M450" s="13">
        <f t="shared" si="166"/>
        <v>0</v>
      </c>
      <c r="O450" s="7"/>
      <c r="P450" s="11"/>
      <c r="Q450" s="11"/>
    </row>
    <row r="451" spans="1:17" x14ac:dyDescent="0.3">
      <c r="A451" s="7" t="str">
        <f t="shared" si="162"/>
        <v>WMT</v>
      </c>
      <c r="B451" s="13">
        <v>49</v>
      </c>
      <c r="D451" s="11" t="s">
        <v>32</v>
      </c>
      <c r="E451" s="11" t="s">
        <v>26</v>
      </c>
      <c r="F451" s="13">
        <v>26.7</v>
      </c>
      <c r="G451" s="13">
        <f>+B453/1000*F451</f>
        <v>1.3056833999999999</v>
      </c>
      <c r="H451" s="12">
        <f>+MAX(0,(F451-18)/F451)</f>
        <v>0.32584269662921345</v>
      </c>
      <c r="I451" s="13">
        <f t="shared" si="163"/>
        <v>0.42544739999999992</v>
      </c>
      <c r="J451" s="13">
        <f>+$M$1</f>
        <v>1569</v>
      </c>
      <c r="K451" s="13">
        <f t="shared" si="164"/>
        <v>14</v>
      </c>
      <c r="L451" s="13">
        <f t="shared" si="165"/>
        <v>1555</v>
      </c>
      <c r="M451" s="13">
        <f t="shared" si="166"/>
        <v>21.269992137985032</v>
      </c>
      <c r="O451" s="7"/>
      <c r="P451" s="11"/>
      <c r="Q451" s="11"/>
    </row>
    <row r="452" spans="1:17" x14ac:dyDescent="0.3">
      <c r="A452" s="7" t="str">
        <f t="shared" si="162"/>
        <v>Moisture</v>
      </c>
      <c r="B452" s="15">
        <v>2E-3</v>
      </c>
      <c r="D452" s="11"/>
      <c r="E452" s="11"/>
      <c r="F452" s="11"/>
      <c r="G452" s="13"/>
      <c r="H452" s="11"/>
      <c r="I452" s="11"/>
      <c r="J452" s="13"/>
      <c r="K452" s="13"/>
      <c r="L452" s="13"/>
      <c r="M452" s="13"/>
      <c r="O452" s="7"/>
      <c r="P452" s="11"/>
      <c r="Q452" s="11"/>
    </row>
    <row r="453" spans="1:17" x14ac:dyDescent="0.3">
      <c r="A453" s="7" t="str">
        <f t="shared" si="162"/>
        <v>DMT</v>
      </c>
      <c r="B453" s="13">
        <f>+B451*(1-B452)</f>
        <v>48.902000000000001</v>
      </c>
      <c r="D453" s="11"/>
      <c r="E453" s="11"/>
      <c r="F453" s="11"/>
      <c r="G453" s="13"/>
      <c r="H453" s="11"/>
      <c r="I453" s="11"/>
      <c r="J453" s="13"/>
      <c r="K453" s="13"/>
      <c r="L453" s="13"/>
      <c r="M453" s="13"/>
      <c r="O453" s="7" t="s">
        <v>35</v>
      </c>
      <c r="P453" s="13">
        <v>0</v>
      </c>
      <c r="Q453" s="13">
        <v>0</v>
      </c>
    </row>
    <row r="454" spans="1:17" x14ac:dyDescent="0.3">
      <c r="A454" s="7" t="str">
        <f t="shared" si="162"/>
        <v>Resultado USD / Kg</v>
      </c>
      <c r="B454" s="13">
        <f>+U456/B451</f>
        <v>0</v>
      </c>
      <c r="D454" s="11"/>
      <c r="E454" s="11"/>
      <c r="F454" s="11"/>
      <c r="G454" s="13"/>
      <c r="H454" s="11"/>
      <c r="I454" s="11"/>
      <c r="J454" s="13"/>
      <c r="K454" s="13"/>
      <c r="L454" s="13"/>
      <c r="M454" s="13"/>
      <c r="O454" s="7" t="s">
        <v>37</v>
      </c>
      <c r="P454" s="13">
        <v>0</v>
      </c>
      <c r="Q454" s="13">
        <v>0</v>
      </c>
    </row>
    <row r="455" spans="1:17" x14ac:dyDescent="0.3">
      <c r="A455" s="18" t="s">
        <v>54</v>
      </c>
      <c r="B455" s="13"/>
      <c r="D455" s="11"/>
      <c r="E455" s="11"/>
      <c r="F455" s="11"/>
      <c r="G455" s="13"/>
      <c r="H455" s="11"/>
      <c r="I455" s="11"/>
      <c r="J455" s="13"/>
      <c r="K455" s="13"/>
      <c r="L455" s="13"/>
      <c r="M455" s="13"/>
      <c r="O455" s="7"/>
      <c r="P455" s="11"/>
      <c r="Q455" s="11"/>
    </row>
    <row r="456" spans="1:17" x14ac:dyDescent="0.3">
      <c r="D456" s="11"/>
      <c r="E456" s="11"/>
      <c r="F456" s="11"/>
      <c r="G456" s="13"/>
      <c r="H456" s="11"/>
      <c r="I456" s="11"/>
      <c r="J456" s="13"/>
      <c r="K456" s="13"/>
      <c r="L456" s="13"/>
      <c r="M456" s="13"/>
      <c r="O456" s="7"/>
      <c r="P456" s="11"/>
      <c r="Q456" s="11"/>
    </row>
    <row r="458" spans="1:17" x14ac:dyDescent="0.3">
      <c r="A458" s="6" t="s">
        <v>5</v>
      </c>
      <c r="B458" s="6"/>
      <c r="D458" s="6" t="s">
        <v>6</v>
      </c>
      <c r="E458" s="6"/>
      <c r="F458" s="6"/>
      <c r="G458" s="6"/>
      <c r="H458" s="6"/>
      <c r="I458" s="6"/>
      <c r="J458" s="6"/>
      <c r="K458" s="6"/>
      <c r="L458" s="6"/>
      <c r="M458" s="6"/>
      <c r="O458" s="6" t="s">
        <v>7</v>
      </c>
      <c r="P458" s="6"/>
      <c r="Q458" s="6"/>
    </row>
    <row r="459" spans="1:17" x14ac:dyDescent="0.3">
      <c r="A459" s="7" t="str">
        <f>+A446</f>
        <v>Arrival date</v>
      </c>
      <c r="B459" s="8">
        <f>+B446</f>
        <v>45982</v>
      </c>
      <c r="D459" s="6" t="s">
        <v>9</v>
      </c>
      <c r="E459" s="6"/>
      <c r="F459" s="6"/>
      <c r="G459" s="9" t="s">
        <v>10</v>
      </c>
      <c r="H459" s="9" t="s">
        <v>11</v>
      </c>
      <c r="I459" s="9" t="s">
        <v>12</v>
      </c>
      <c r="J459" s="9" t="s">
        <v>13</v>
      </c>
      <c r="K459" s="9" t="s">
        <v>14</v>
      </c>
      <c r="L459" s="9" t="s">
        <v>15</v>
      </c>
      <c r="M459" s="9" t="s">
        <v>16</v>
      </c>
      <c r="N459" s="10"/>
      <c r="O459" s="9" t="s">
        <v>17</v>
      </c>
      <c r="P459" s="9" t="s">
        <v>18</v>
      </c>
      <c r="Q459" s="9" t="s">
        <v>16</v>
      </c>
    </row>
    <row r="460" spans="1:17" x14ac:dyDescent="0.3">
      <c r="A460" s="7" t="str">
        <f t="shared" ref="A460:A467" si="167">+A447</f>
        <v>Receptive date</v>
      </c>
      <c r="B460" s="8">
        <f>+B459</f>
        <v>45982</v>
      </c>
      <c r="D460" s="11" t="s">
        <v>20</v>
      </c>
      <c r="E460" s="11" t="s">
        <v>21</v>
      </c>
      <c r="F460" s="12">
        <v>0.83409999999999995</v>
      </c>
      <c r="G460" s="13">
        <f>+F460*B466</f>
        <v>79.081020999999993</v>
      </c>
      <c r="H460" s="12">
        <f>+IF(F460&gt;=20,(F460-3%)/F460,IF(F460&gt;=23,(F460-5.16%)/F460,(F460-3%)/F460))</f>
        <v>0.96403308955760691</v>
      </c>
      <c r="I460" s="13">
        <f>+G460*H460</f>
        <v>76.236720999999989</v>
      </c>
      <c r="J460" s="13">
        <f>+$G$1</f>
        <v>11803.79</v>
      </c>
      <c r="K460" s="13">
        <f>+K447</f>
        <v>300</v>
      </c>
      <c r="L460" s="13">
        <f>+J460-K460</f>
        <v>11503.79</v>
      </c>
      <c r="M460" s="13">
        <f>+I460*L460/1000</f>
        <v>877.01122867258994</v>
      </c>
      <c r="O460" s="7" t="s">
        <v>22</v>
      </c>
      <c r="P460" s="14" t="s">
        <v>23</v>
      </c>
      <c r="Q460" s="17">
        <f>600*B466/1000</f>
        <v>56.886000000000003</v>
      </c>
    </row>
    <row r="461" spans="1:17" x14ac:dyDescent="0.3">
      <c r="A461" s="7" t="str">
        <f t="shared" si="167"/>
        <v>Customer lot No.</v>
      </c>
      <c r="B461" s="14" t="s">
        <v>58</v>
      </c>
      <c r="D461" s="11" t="s">
        <v>25</v>
      </c>
      <c r="E461" s="11" t="s">
        <v>26</v>
      </c>
      <c r="F461" s="13">
        <v>288.10000000000002</v>
      </c>
      <c r="G461" s="13">
        <f>+B466/1000*F461</f>
        <v>27.314761000000004</v>
      </c>
      <c r="H461" s="12">
        <f>+MIN(0.96,(F461-7)/F461)</f>
        <v>0.96</v>
      </c>
      <c r="I461" s="13">
        <f t="shared" ref="I461:I464" si="168">+G461*H461</f>
        <v>26.222170560000002</v>
      </c>
      <c r="J461" s="13">
        <f>+$I$1</f>
        <v>4500</v>
      </c>
      <c r="K461" s="13">
        <f t="shared" ref="K461:K464" si="169">+K448</f>
        <v>5</v>
      </c>
      <c r="L461" s="13">
        <f t="shared" ref="L461:L464" si="170">+J461-K461</f>
        <v>4495</v>
      </c>
      <c r="M461" s="13">
        <f>+I461*L461/31.1034768</f>
        <v>3789.5653088917702</v>
      </c>
      <c r="O461" s="7" t="s">
        <v>27</v>
      </c>
      <c r="P461" s="11">
        <v>100</v>
      </c>
      <c r="Q461" s="11">
        <f>+B464*P461/1000</f>
        <v>9.5</v>
      </c>
    </row>
    <row r="462" spans="1:17" x14ac:dyDescent="0.3">
      <c r="A462" s="7" t="str">
        <f t="shared" si="167"/>
        <v>Lot No. (JX)</v>
      </c>
      <c r="B462" s="11">
        <v>2287</v>
      </c>
      <c r="D462" s="11" t="s">
        <v>29</v>
      </c>
      <c r="E462" s="11" t="s">
        <v>26</v>
      </c>
      <c r="F462" s="13">
        <v>57</v>
      </c>
      <c r="G462" s="13">
        <f>+B466/1000*F462</f>
        <v>5.4041700000000006</v>
      </c>
      <c r="H462" s="12">
        <f>+MIN(0.95,MAX(0,(F462-100)/F462))</f>
        <v>0</v>
      </c>
      <c r="I462" s="13">
        <f t="shared" si="168"/>
        <v>0</v>
      </c>
      <c r="J462" s="13">
        <f>+$K$1</f>
        <v>64.34</v>
      </c>
      <c r="K462" s="13">
        <f t="shared" si="169"/>
        <v>0.5</v>
      </c>
      <c r="L462" s="13">
        <f t="shared" si="170"/>
        <v>63.84</v>
      </c>
      <c r="M462" s="13">
        <f t="shared" ref="M462:M464" si="171">+I462*L462/31.1034768</f>
        <v>0</v>
      </c>
      <c r="O462" s="7"/>
      <c r="P462" s="11"/>
      <c r="Q462" s="11"/>
    </row>
    <row r="463" spans="1:17" x14ac:dyDescent="0.3">
      <c r="A463" s="7"/>
      <c r="B463" s="11"/>
      <c r="D463" s="11" t="s">
        <v>30</v>
      </c>
      <c r="E463" s="11" t="s">
        <v>26</v>
      </c>
      <c r="F463" s="13"/>
      <c r="G463" s="13"/>
      <c r="H463" s="11"/>
      <c r="I463" s="13">
        <f t="shared" si="168"/>
        <v>0</v>
      </c>
      <c r="J463" s="13">
        <v>0</v>
      </c>
      <c r="K463" s="13">
        <f t="shared" si="169"/>
        <v>0</v>
      </c>
      <c r="L463" s="13">
        <f t="shared" si="170"/>
        <v>0</v>
      </c>
      <c r="M463" s="13">
        <f t="shared" si="171"/>
        <v>0</v>
      </c>
      <c r="O463" s="7"/>
      <c r="P463" s="11"/>
      <c r="Q463" s="11"/>
    </row>
    <row r="464" spans="1:17" x14ac:dyDescent="0.3">
      <c r="A464" s="7" t="str">
        <f t="shared" si="167"/>
        <v>WMT</v>
      </c>
      <c r="B464" s="13">
        <v>95</v>
      </c>
      <c r="D464" s="11" t="s">
        <v>32</v>
      </c>
      <c r="E464" s="11" t="s">
        <v>26</v>
      </c>
      <c r="F464" s="13">
        <v>5</v>
      </c>
      <c r="G464" s="13">
        <f>+B466/1000*F464</f>
        <v>0.47405000000000003</v>
      </c>
      <c r="H464" s="12">
        <f>+MAX(0,(F464-18)/F464)</f>
        <v>0</v>
      </c>
      <c r="I464" s="13">
        <f t="shared" si="168"/>
        <v>0</v>
      </c>
      <c r="J464" s="13">
        <f>+$M$1</f>
        <v>1569</v>
      </c>
      <c r="K464" s="13">
        <f t="shared" si="169"/>
        <v>14</v>
      </c>
      <c r="L464" s="13">
        <f t="shared" si="170"/>
        <v>1555</v>
      </c>
      <c r="M464" s="13">
        <f t="shared" si="171"/>
        <v>0</v>
      </c>
      <c r="O464" s="7"/>
      <c r="P464" s="11"/>
      <c r="Q464" s="11"/>
    </row>
    <row r="465" spans="1:17" x14ac:dyDescent="0.3">
      <c r="A465" s="7" t="str">
        <f t="shared" si="167"/>
        <v>Moisture</v>
      </c>
      <c r="B465" s="15">
        <v>2E-3</v>
      </c>
      <c r="D465" s="11"/>
      <c r="E465" s="11"/>
      <c r="F465" s="11"/>
      <c r="G465" s="13"/>
      <c r="H465" s="11"/>
      <c r="I465" s="11"/>
      <c r="J465" s="13"/>
      <c r="K465" s="13"/>
      <c r="L465" s="13"/>
      <c r="M465" s="13"/>
      <c r="O465" s="7"/>
      <c r="P465" s="11"/>
      <c r="Q465" s="11"/>
    </row>
    <row r="466" spans="1:17" x14ac:dyDescent="0.3">
      <c r="A466" s="7" t="str">
        <f t="shared" si="167"/>
        <v>DMT</v>
      </c>
      <c r="B466" s="13">
        <f>+B464*(1-B465)</f>
        <v>94.81</v>
      </c>
      <c r="D466" s="11"/>
      <c r="E466" s="11"/>
      <c r="F466" s="11"/>
      <c r="G466" s="13"/>
      <c r="H466" s="11"/>
      <c r="I466" s="11"/>
      <c r="J466" s="13"/>
      <c r="K466" s="13"/>
      <c r="L466" s="13"/>
      <c r="M466" s="13"/>
      <c r="O466" s="7" t="s">
        <v>35</v>
      </c>
      <c r="P466" s="13">
        <v>260</v>
      </c>
      <c r="Q466" s="13">
        <f>+P466</f>
        <v>260</v>
      </c>
    </row>
    <row r="467" spans="1:17" x14ac:dyDescent="0.3">
      <c r="A467" s="7" t="str">
        <f t="shared" si="167"/>
        <v>Resultado USD / Kg</v>
      </c>
      <c r="B467" s="13">
        <f>+U469/B464</f>
        <v>0</v>
      </c>
      <c r="D467" s="11"/>
      <c r="E467" s="11"/>
      <c r="F467" s="11"/>
      <c r="G467" s="13"/>
      <c r="H467" s="11"/>
      <c r="I467" s="11"/>
      <c r="J467" s="13"/>
      <c r="K467" s="13"/>
      <c r="L467" s="13"/>
      <c r="M467" s="13"/>
      <c r="O467" s="7" t="s">
        <v>37</v>
      </c>
      <c r="P467" s="13">
        <v>0</v>
      </c>
      <c r="Q467" s="13">
        <v>0</v>
      </c>
    </row>
    <row r="468" spans="1:17" x14ac:dyDescent="0.3">
      <c r="A468" s="18" t="s">
        <v>67</v>
      </c>
      <c r="B468" s="13"/>
      <c r="D468" s="11"/>
      <c r="E468" s="11"/>
      <c r="F468" s="11"/>
      <c r="G468" s="13"/>
      <c r="H468" s="11"/>
      <c r="I468" s="11"/>
      <c r="J468" s="13"/>
      <c r="K468" s="13"/>
      <c r="L468" s="13"/>
      <c r="M468" s="13"/>
      <c r="O468" s="7"/>
      <c r="P468" s="11"/>
      <c r="Q468" s="11"/>
    </row>
    <row r="469" spans="1:17" x14ac:dyDescent="0.3">
      <c r="D469" s="11"/>
      <c r="E469" s="11"/>
      <c r="F469" s="11"/>
      <c r="G469" s="13"/>
      <c r="H469" s="11"/>
      <c r="I469" s="11"/>
      <c r="J469" s="13"/>
      <c r="K469" s="13"/>
      <c r="L469" s="13"/>
      <c r="M469" s="13"/>
      <c r="O469" s="7"/>
      <c r="P469" s="11"/>
      <c r="Q469" s="11"/>
    </row>
    <row r="471" spans="1:17" x14ac:dyDescent="0.3">
      <c r="A471" s="6" t="s">
        <v>5</v>
      </c>
      <c r="B471" s="6"/>
      <c r="D471" s="6" t="s">
        <v>6</v>
      </c>
      <c r="E471" s="6"/>
      <c r="F471" s="6"/>
      <c r="G471" s="6"/>
      <c r="H471" s="6"/>
      <c r="I471" s="6"/>
      <c r="J471" s="6"/>
      <c r="K471" s="6"/>
      <c r="L471" s="6"/>
      <c r="M471" s="6"/>
      <c r="O471" s="6" t="s">
        <v>7</v>
      </c>
      <c r="P471" s="6"/>
      <c r="Q471" s="6"/>
    </row>
    <row r="472" spans="1:17" x14ac:dyDescent="0.3">
      <c r="A472" s="7" t="s">
        <v>8</v>
      </c>
      <c r="B472" s="8">
        <v>45980</v>
      </c>
      <c r="D472" s="6" t="s">
        <v>9</v>
      </c>
      <c r="E472" s="6"/>
      <c r="F472" s="6"/>
      <c r="G472" s="9" t="s">
        <v>10</v>
      </c>
      <c r="H472" s="9" t="s">
        <v>11</v>
      </c>
      <c r="I472" s="9" t="s">
        <v>12</v>
      </c>
      <c r="J472" s="9" t="s">
        <v>13</v>
      </c>
      <c r="K472" s="9" t="s">
        <v>14</v>
      </c>
      <c r="L472" s="9" t="s">
        <v>15</v>
      </c>
      <c r="M472" s="9" t="s">
        <v>16</v>
      </c>
      <c r="N472" s="10"/>
      <c r="O472" s="9" t="s">
        <v>17</v>
      </c>
      <c r="P472" s="9" t="s">
        <v>18</v>
      </c>
      <c r="Q472" s="9" t="s">
        <v>16</v>
      </c>
    </row>
    <row r="473" spans="1:17" x14ac:dyDescent="0.3">
      <c r="A473" s="7" t="s">
        <v>19</v>
      </c>
      <c r="B473" s="8">
        <f>+B472</f>
        <v>45980</v>
      </c>
      <c r="D473" s="11" t="s">
        <v>20</v>
      </c>
      <c r="E473" s="11" t="s">
        <v>21</v>
      </c>
      <c r="F473" s="12">
        <v>0.26140000000000002</v>
      </c>
      <c r="G473" s="13">
        <f>+F473*B479</f>
        <v>118.43824880000001</v>
      </c>
      <c r="H473" s="12">
        <f>+IF(F473&gt;=20,(F473-3%)/F473,IF(F473&gt;=23,(F473-5.16%)/F473,(F473-3%)/F473))</f>
        <v>0.88523335883703136</v>
      </c>
      <c r="I473" s="13">
        <f>+G473*H473</f>
        <v>104.84548880000001</v>
      </c>
      <c r="J473" s="13">
        <f>+$G$1</f>
        <v>11803.79</v>
      </c>
      <c r="K473" s="13">
        <v>300</v>
      </c>
      <c r="L473" s="13">
        <f>+J473-K473</f>
        <v>11503.79</v>
      </c>
      <c r="M473" s="13">
        <f>+I473*L473/1000</f>
        <v>1206.1204856025522</v>
      </c>
      <c r="O473" s="7" t="s">
        <v>22</v>
      </c>
      <c r="P473" s="14" t="s">
        <v>23</v>
      </c>
      <c r="Q473" s="13">
        <f>600*B479/1000</f>
        <v>271.85520000000002</v>
      </c>
    </row>
    <row r="474" spans="1:17" x14ac:dyDescent="0.3">
      <c r="A474" s="7" t="s">
        <v>24</v>
      </c>
      <c r="B474" s="14" t="s">
        <v>59</v>
      </c>
      <c r="D474" s="11" t="s">
        <v>25</v>
      </c>
      <c r="E474" s="11" t="s">
        <v>26</v>
      </c>
      <c r="F474" s="13">
        <v>258.10000000000002</v>
      </c>
      <c r="G474" s="13">
        <f>+B479/1000*F474</f>
        <v>116.94304520000001</v>
      </c>
      <c r="H474" s="12">
        <f>+MIN(0.96,(F474-7)/F474)</f>
        <v>0.96</v>
      </c>
      <c r="I474" s="13">
        <f t="shared" ref="I474:I477" si="172">+G474*H474</f>
        <v>112.26532339200001</v>
      </c>
      <c r="J474" s="13">
        <f>+$I$1</f>
        <v>4500</v>
      </c>
      <c r="K474" s="13">
        <v>5</v>
      </c>
      <c r="L474" s="13">
        <f t="shared" ref="L474:L477" si="173">+J474-K474</f>
        <v>4495</v>
      </c>
      <c r="M474" s="13">
        <f>+I474*L474/31.1034768</f>
        <v>16224.315753891542</v>
      </c>
      <c r="O474" s="7" t="s">
        <v>27</v>
      </c>
      <c r="P474" s="11">
        <v>100</v>
      </c>
      <c r="Q474" s="13">
        <f>+B477*P474/1000</f>
        <v>45.4</v>
      </c>
    </row>
    <row r="475" spans="1:17" x14ac:dyDescent="0.3">
      <c r="A475" s="7" t="s">
        <v>28</v>
      </c>
      <c r="B475" s="11">
        <v>1827</v>
      </c>
      <c r="D475" s="11" t="s">
        <v>29</v>
      </c>
      <c r="E475" s="11" t="s">
        <v>26</v>
      </c>
      <c r="F475" s="13">
        <v>1396</v>
      </c>
      <c r="G475" s="13">
        <f>+B479/1000*F475</f>
        <v>632.51643200000001</v>
      </c>
      <c r="H475" s="12">
        <f>+MIN(0.95,MAX(0,(F475-100)/F475))</f>
        <v>0.92836676217765046</v>
      </c>
      <c r="I475" s="13">
        <f t="shared" si="172"/>
        <v>587.20723199999998</v>
      </c>
      <c r="J475" s="13">
        <f>+$K$1</f>
        <v>64.34</v>
      </c>
      <c r="K475" s="13">
        <v>0.5</v>
      </c>
      <c r="L475" s="13">
        <f t="shared" si="173"/>
        <v>63.84</v>
      </c>
      <c r="M475" s="13">
        <f t="shared" ref="M475:M477" si="174">+I475*L475/31.1034768</f>
        <v>1205.2449934111546</v>
      </c>
      <c r="O475" s="7"/>
      <c r="P475" s="11"/>
      <c r="Q475" s="13"/>
    </row>
    <row r="476" spans="1:17" x14ac:dyDescent="0.3">
      <c r="A476" s="7"/>
      <c r="B476" s="11"/>
      <c r="D476" s="11" t="s">
        <v>30</v>
      </c>
      <c r="E476" s="11" t="s">
        <v>26</v>
      </c>
      <c r="F476" s="13"/>
      <c r="G476" s="13"/>
      <c r="H476" s="11"/>
      <c r="I476" s="13">
        <f t="shared" si="172"/>
        <v>0</v>
      </c>
      <c r="J476" s="13">
        <v>0</v>
      </c>
      <c r="K476" s="13"/>
      <c r="L476" s="13">
        <f t="shared" si="173"/>
        <v>0</v>
      </c>
      <c r="M476" s="13">
        <f t="shared" si="174"/>
        <v>0</v>
      </c>
      <c r="O476" s="7"/>
      <c r="P476" s="11"/>
      <c r="Q476" s="13"/>
    </row>
    <row r="477" spans="1:17" x14ac:dyDescent="0.3">
      <c r="A477" s="7" t="s">
        <v>31</v>
      </c>
      <c r="B477" s="13">
        <v>454</v>
      </c>
      <c r="D477" s="11" t="s">
        <v>32</v>
      </c>
      <c r="E477" s="11" t="s">
        <v>26</v>
      </c>
      <c r="F477" s="13">
        <v>110.7</v>
      </c>
      <c r="G477" s="13">
        <f>+B479/1000*F477</f>
        <v>50.157284400000002</v>
      </c>
      <c r="H477" s="12">
        <f>+MAX(0,(F477-18)/F477)</f>
        <v>0.83739837398373984</v>
      </c>
      <c r="I477" s="13">
        <f t="shared" si="172"/>
        <v>42.001628400000001</v>
      </c>
      <c r="J477" s="13">
        <f>+$M$1</f>
        <v>1569</v>
      </c>
      <c r="K477" s="13">
        <v>14</v>
      </c>
      <c r="L477" s="13">
        <f t="shared" si="173"/>
        <v>1555</v>
      </c>
      <c r="M477" s="13">
        <f t="shared" si="174"/>
        <v>2099.8466692958264</v>
      </c>
      <c r="O477" s="7"/>
      <c r="P477" s="11"/>
      <c r="Q477" s="13"/>
    </row>
    <row r="478" spans="1:17" x14ac:dyDescent="0.3">
      <c r="A478" s="7" t="s">
        <v>33</v>
      </c>
      <c r="B478" s="15">
        <v>2E-3</v>
      </c>
      <c r="D478" s="11"/>
      <c r="E478" s="11"/>
      <c r="F478" s="13"/>
      <c r="G478" s="13"/>
      <c r="H478" s="11"/>
      <c r="I478" s="11"/>
      <c r="J478" s="13"/>
      <c r="K478" s="13"/>
      <c r="L478" s="13"/>
      <c r="M478" s="13"/>
      <c r="O478" s="7"/>
      <c r="P478" s="11"/>
      <c r="Q478" s="13"/>
    </row>
    <row r="479" spans="1:17" x14ac:dyDescent="0.3">
      <c r="A479" s="7" t="s">
        <v>34</v>
      </c>
      <c r="B479" s="13">
        <f>+B477*(1-B478)</f>
        <v>453.09199999999998</v>
      </c>
      <c r="D479" s="11"/>
      <c r="E479" s="11"/>
      <c r="F479" s="13"/>
      <c r="G479" s="13"/>
      <c r="H479" s="11"/>
      <c r="I479" s="11"/>
      <c r="J479" s="13"/>
      <c r="K479" s="13"/>
      <c r="L479" s="13"/>
      <c r="M479" s="13"/>
      <c r="O479" s="7" t="s">
        <v>35</v>
      </c>
      <c r="P479" s="13">
        <v>0</v>
      </c>
      <c r="Q479" s="13">
        <v>0</v>
      </c>
    </row>
    <row r="480" spans="1:17" x14ac:dyDescent="0.3">
      <c r="A480" s="7" t="s">
        <v>36</v>
      </c>
      <c r="B480" s="13">
        <f>+U482/B477</f>
        <v>0</v>
      </c>
      <c r="D480" s="11"/>
      <c r="E480" s="11"/>
      <c r="F480" s="11"/>
      <c r="G480" s="13"/>
      <c r="H480" s="11"/>
      <c r="I480" s="11"/>
      <c r="J480" s="13"/>
      <c r="K480" s="13"/>
      <c r="L480" s="13"/>
      <c r="M480" s="13"/>
      <c r="O480" s="7" t="s">
        <v>37</v>
      </c>
      <c r="P480" s="13">
        <v>0</v>
      </c>
      <c r="Q480" s="13">
        <v>0</v>
      </c>
    </row>
    <row r="481" spans="1:17" x14ac:dyDescent="0.3">
      <c r="A481" s="16" t="s">
        <v>75</v>
      </c>
      <c r="B481" s="13"/>
      <c r="C481" s="20"/>
      <c r="D481" s="11"/>
      <c r="E481" s="11"/>
      <c r="F481" s="11"/>
      <c r="G481" s="13"/>
      <c r="H481" s="11"/>
      <c r="I481" s="11"/>
      <c r="J481" s="13"/>
      <c r="K481" s="13"/>
      <c r="L481" s="13"/>
      <c r="M481" s="13"/>
      <c r="O481" s="7"/>
      <c r="P481" s="11"/>
      <c r="Q481" s="13"/>
    </row>
    <row r="482" spans="1:17" x14ac:dyDescent="0.3">
      <c r="D482" s="11"/>
      <c r="E482" s="11"/>
      <c r="F482" s="11"/>
      <c r="G482" s="13"/>
      <c r="H482" s="11"/>
      <c r="I482" s="11"/>
      <c r="J482" s="13"/>
      <c r="K482" s="13"/>
      <c r="L482" s="13"/>
      <c r="M482" s="13"/>
      <c r="O482" s="7"/>
      <c r="P482" s="11"/>
      <c r="Q482" s="13"/>
    </row>
    <row r="484" spans="1:17" x14ac:dyDescent="0.3">
      <c r="A484" s="6" t="s">
        <v>5</v>
      </c>
      <c r="B484" s="6"/>
      <c r="D484" s="6" t="s">
        <v>6</v>
      </c>
      <c r="E484" s="6"/>
      <c r="F484" s="6"/>
      <c r="G484" s="6"/>
      <c r="H484" s="6"/>
      <c r="I484" s="6"/>
      <c r="J484" s="6"/>
      <c r="K484" s="6"/>
      <c r="L484" s="6"/>
      <c r="M484" s="6"/>
      <c r="O484" s="6" t="s">
        <v>7</v>
      </c>
      <c r="P484" s="6"/>
      <c r="Q484" s="6"/>
    </row>
    <row r="485" spans="1:17" x14ac:dyDescent="0.3">
      <c r="A485" s="7" t="str">
        <f>+A472</f>
        <v>Arrival date</v>
      </c>
      <c r="B485" s="8">
        <f>+B472</f>
        <v>45980</v>
      </c>
      <c r="D485" s="6" t="s">
        <v>9</v>
      </c>
      <c r="E485" s="6"/>
      <c r="F485" s="6"/>
      <c r="G485" s="9" t="s">
        <v>10</v>
      </c>
      <c r="H485" s="9" t="s">
        <v>11</v>
      </c>
      <c r="I485" s="9" t="s">
        <v>12</v>
      </c>
      <c r="J485" s="9" t="s">
        <v>13</v>
      </c>
      <c r="K485" s="9" t="s">
        <v>14</v>
      </c>
      <c r="L485" s="9" t="s">
        <v>15</v>
      </c>
      <c r="M485" s="9" t="s">
        <v>16</v>
      </c>
      <c r="N485" s="10"/>
      <c r="O485" s="9" t="s">
        <v>17</v>
      </c>
      <c r="P485" s="9" t="s">
        <v>18</v>
      </c>
      <c r="Q485" s="9" t="s">
        <v>16</v>
      </c>
    </row>
    <row r="486" spans="1:17" x14ac:dyDescent="0.3">
      <c r="A486" s="7" t="str">
        <f t="shared" ref="A486:A488" si="175">+A473</f>
        <v>Receptive date</v>
      </c>
      <c r="B486" s="8">
        <f>+B485</f>
        <v>45980</v>
      </c>
      <c r="D486" s="11" t="s">
        <v>20</v>
      </c>
      <c r="E486" s="11" t="s">
        <v>21</v>
      </c>
      <c r="F486" s="12">
        <v>0.23069999999999999</v>
      </c>
      <c r="G486" s="13">
        <f>+F486*B492</f>
        <v>1144.7500104000001</v>
      </c>
      <c r="H486" s="12">
        <f>+IF(F486&gt;=20,(F486-3%)/F486,IF(F486&gt;=23,(F486-5.16%)/F486,(F486-3%)/F486))</f>
        <v>0.86996098829648894</v>
      </c>
      <c r="I486" s="13">
        <f>+G486*H486</f>
        <v>995.88785040000005</v>
      </c>
      <c r="J486" s="13">
        <f>+$G$1</f>
        <v>11803.79</v>
      </c>
      <c r="K486" s="13">
        <f>+K473</f>
        <v>300</v>
      </c>
      <c r="L486" s="13">
        <f>+J486-K486</f>
        <v>11503.79</v>
      </c>
      <c r="M486" s="13">
        <f>+I486*L486/1000</f>
        <v>11456.484694553017</v>
      </c>
      <c r="O486" s="7" t="s">
        <v>22</v>
      </c>
      <c r="P486" s="14" t="s">
        <v>23</v>
      </c>
      <c r="Q486" s="13">
        <f>600*B492/1000</f>
        <v>2977.2432000000003</v>
      </c>
    </row>
    <row r="487" spans="1:17" x14ac:dyDescent="0.3">
      <c r="A487" s="7" t="str">
        <f t="shared" si="175"/>
        <v>Customer lot No.</v>
      </c>
      <c r="B487" s="14" t="s">
        <v>60</v>
      </c>
      <c r="D487" s="11" t="s">
        <v>25</v>
      </c>
      <c r="E487" s="11" t="s">
        <v>26</v>
      </c>
      <c r="F487" s="13">
        <v>157.69999999999999</v>
      </c>
      <c r="G487" s="13">
        <f>+B492/1000*F487</f>
        <v>782.51875439999992</v>
      </c>
      <c r="H487" s="12">
        <f>+MIN(0.96,(F487-7)/F487)</f>
        <v>0.95561192136968931</v>
      </c>
      <c r="I487" s="13">
        <f t="shared" ref="I487:I490" si="176">+G487*H487</f>
        <v>747.78425039999991</v>
      </c>
      <c r="J487" s="13">
        <f>+$I$1</f>
        <v>4500</v>
      </c>
      <c r="K487" s="13">
        <f t="shared" ref="K487:K490" si="177">+K474</f>
        <v>5</v>
      </c>
      <c r="L487" s="13">
        <f t="shared" ref="L487:L490" si="178">+J487-K487</f>
        <v>4495</v>
      </c>
      <c r="M487" s="13">
        <f>+I487*L487/31.1034768</f>
        <v>108067.98954218518</v>
      </c>
      <c r="O487" s="7" t="s">
        <v>27</v>
      </c>
      <c r="P487" s="11">
        <v>100</v>
      </c>
      <c r="Q487" s="13">
        <f>+B490*P487/1000</f>
        <v>498.2</v>
      </c>
    </row>
    <row r="488" spans="1:17" x14ac:dyDescent="0.3">
      <c r="A488" s="7" t="str">
        <f t="shared" si="175"/>
        <v>Lot No. (JX)</v>
      </c>
      <c r="B488" s="11">
        <v>1828</v>
      </c>
      <c r="D488" s="11" t="s">
        <v>29</v>
      </c>
      <c r="E488" s="11" t="s">
        <v>26</v>
      </c>
      <c r="F488" s="13">
        <v>991</v>
      </c>
      <c r="G488" s="13">
        <f>+B492/1000*F488</f>
        <v>4917.4133520000005</v>
      </c>
      <c r="H488" s="12">
        <f>+MIN(0.95,MAX(0,(F488-100)/F488))</f>
        <v>0.8990918264379415</v>
      </c>
      <c r="I488" s="13">
        <f t="shared" si="176"/>
        <v>4421.2061520000007</v>
      </c>
      <c r="J488" s="13">
        <f>+$K$1</f>
        <v>64.34</v>
      </c>
      <c r="K488" s="13">
        <f t="shared" si="177"/>
        <v>0.5</v>
      </c>
      <c r="L488" s="13">
        <f t="shared" si="178"/>
        <v>63.84</v>
      </c>
      <c r="M488" s="13">
        <f t="shared" ref="M488:M490" si="179">+I488*L488/31.1034768</f>
        <v>9074.5418127558023</v>
      </c>
      <c r="O488" s="7"/>
      <c r="P488" s="11"/>
      <c r="Q488" s="13"/>
    </row>
    <row r="489" spans="1:17" x14ac:dyDescent="0.3">
      <c r="A489" s="7"/>
      <c r="B489" s="11"/>
      <c r="D489" s="11" t="s">
        <v>30</v>
      </c>
      <c r="E489" s="11" t="s">
        <v>26</v>
      </c>
      <c r="F489" s="13"/>
      <c r="G489" s="13"/>
      <c r="H489" s="11"/>
      <c r="I489" s="13">
        <f t="shared" si="176"/>
        <v>0</v>
      </c>
      <c r="J489" s="13">
        <v>0</v>
      </c>
      <c r="K489" s="13">
        <f t="shared" si="177"/>
        <v>0</v>
      </c>
      <c r="L489" s="13">
        <f t="shared" si="178"/>
        <v>0</v>
      </c>
      <c r="M489" s="13">
        <f t="shared" si="179"/>
        <v>0</v>
      </c>
      <c r="O489" s="7"/>
      <c r="P489" s="11"/>
      <c r="Q489" s="13"/>
    </row>
    <row r="490" spans="1:17" x14ac:dyDescent="0.3">
      <c r="A490" s="7" t="str">
        <f>+A477</f>
        <v>WMT</v>
      </c>
      <c r="B490" s="13">
        <v>4982</v>
      </c>
      <c r="D490" s="11" t="s">
        <v>32</v>
      </c>
      <c r="E490" s="11" t="s">
        <v>26</v>
      </c>
      <c r="F490" s="13">
        <v>25.6</v>
      </c>
      <c r="G490" s="13">
        <f>+B492/1000*F490</f>
        <v>127.0290432</v>
      </c>
      <c r="H490" s="12">
        <f>+MAX(0,(F490-18)/F490)</f>
        <v>0.29687500000000006</v>
      </c>
      <c r="I490" s="13">
        <f t="shared" si="176"/>
        <v>37.711747200000005</v>
      </c>
      <c r="J490" s="13">
        <f>+$M$1</f>
        <v>1569</v>
      </c>
      <c r="K490" s="13">
        <f t="shared" si="177"/>
        <v>14</v>
      </c>
      <c r="L490" s="13">
        <f t="shared" si="178"/>
        <v>1555</v>
      </c>
      <c r="M490" s="13">
        <f t="shared" si="179"/>
        <v>1885.3765858098543</v>
      </c>
      <c r="O490" s="7"/>
      <c r="P490" s="11"/>
      <c r="Q490" s="13"/>
    </row>
    <row r="491" spans="1:17" x14ac:dyDescent="0.3">
      <c r="A491" s="7" t="str">
        <f t="shared" ref="A491:A493" si="180">+A478</f>
        <v>Moisture</v>
      </c>
      <c r="B491" s="15">
        <v>4.0000000000000001E-3</v>
      </c>
      <c r="D491" s="11"/>
      <c r="E491" s="11"/>
      <c r="F491" s="13"/>
      <c r="G491" s="13"/>
      <c r="H491" s="11"/>
      <c r="I491" s="11"/>
      <c r="J491" s="13"/>
      <c r="K491" s="13"/>
      <c r="L491" s="13"/>
      <c r="M491" s="13"/>
      <c r="O491" s="7"/>
      <c r="P491" s="11"/>
      <c r="Q491" s="13"/>
    </row>
    <row r="492" spans="1:17" x14ac:dyDescent="0.3">
      <c r="A492" s="7" t="str">
        <f t="shared" si="180"/>
        <v>DMT</v>
      </c>
      <c r="B492" s="13">
        <f>+B490*(1-B491)</f>
        <v>4962.0720000000001</v>
      </c>
      <c r="D492" s="11"/>
      <c r="E492" s="11"/>
      <c r="F492" s="13"/>
      <c r="G492" s="13"/>
      <c r="H492" s="11"/>
      <c r="I492" s="11"/>
      <c r="J492" s="13"/>
      <c r="K492" s="13"/>
      <c r="L492" s="13"/>
      <c r="M492" s="13"/>
      <c r="O492" s="7" t="s">
        <v>35</v>
      </c>
      <c r="P492" s="13">
        <v>0</v>
      </c>
      <c r="Q492" s="13">
        <v>0</v>
      </c>
    </row>
    <row r="493" spans="1:17" x14ac:dyDescent="0.3">
      <c r="A493" s="7" t="str">
        <f t="shared" si="180"/>
        <v>Resultado USD / Kg</v>
      </c>
      <c r="B493" s="13">
        <f>+U495/B490</f>
        <v>0</v>
      </c>
      <c r="D493" s="11"/>
      <c r="E493" s="11"/>
      <c r="F493" s="11"/>
      <c r="G493" s="13"/>
      <c r="H493" s="17"/>
      <c r="I493" s="11"/>
      <c r="J493" s="13"/>
      <c r="K493" s="13"/>
      <c r="L493" s="13"/>
      <c r="M493" s="13"/>
      <c r="O493" s="7" t="s">
        <v>37</v>
      </c>
      <c r="P493" s="13">
        <v>0</v>
      </c>
      <c r="Q493" s="13">
        <v>0</v>
      </c>
    </row>
    <row r="494" spans="1:17" x14ac:dyDescent="0.3">
      <c r="A494" s="18" t="s">
        <v>51</v>
      </c>
      <c r="B494" s="13"/>
      <c r="C494" s="20"/>
      <c r="D494" s="11"/>
      <c r="E494" s="11"/>
      <c r="F494" s="11"/>
      <c r="G494" s="13"/>
      <c r="H494" s="11"/>
      <c r="I494" s="11"/>
      <c r="J494" s="13"/>
      <c r="K494" s="13"/>
      <c r="L494" s="13"/>
      <c r="M494" s="13"/>
      <c r="O494" s="7"/>
      <c r="P494" s="11"/>
      <c r="Q494" s="13"/>
    </row>
    <row r="495" spans="1:17" x14ac:dyDescent="0.3">
      <c r="D495" s="11"/>
      <c r="E495" s="11"/>
      <c r="F495" s="11"/>
      <c r="G495" s="13"/>
      <c r="H495" s="11"/>
      <c r="I495" s="11"/>
      <c r="J495" s="13"/>
      <c r="K495" s="13"/>
      <c r="L495" s="13"/>
      <c r="M495" s="13"/>
      <c r="O495" s="7"/>
      <c r="P495" s="11"/>
      <c r="Q495" s="13"/>
    </row>
    <row r="497" spans="1:17" x14ac:dyDescent="0.3">
      <c r="A497" s="6" t="s">
        <v>5</v>
      </c>
      <c r="B497" s="6"/>
      <c r="D497" s="6" t="s">
        <v>6</v>
      </c>
      <c r="E497" s="6"/>
      <c r="F497" s="6"/>
      <c r="G497" s="6"/>
      <c r="H497" s="6"/>
      <c r="I497" s="6"/>
      <c r="J497" s="6"/>
      <c r="K497" s="6"/>
      <c r="L497" s="6"/>
      <c r="M497" s="6"/>
      <c r="O497" s="6" t="s">
        <v>7</v>
      </c>
      <c r="P497" s="6"/>
      <c r="Q497" s="6"/>
    </row>
    <row r="498" spans="1:17" x14ac:dyDescent="0.3">
      <c r="A498" s="7" t="str">
        <f>+A485</f>
        <v>Arrival date</v>
      </c>
      <c r="B498" s="8">
        <f>+B485</f>
        <v>45980</v>
      </c>
      <c r="D498" s="6" t="s">
        <v>9</v>
      </c>
      <c r="E498" s="6"/>
      <c r="F498" s="6"/>
      <c r="G498" s="9" t="s">
        <v>10</v>
      </c>
      <c r="H498" s="9" t="s">
        <v>11</v>
      </c>
      <c r="I498" s="9" t="s">
        <v>12</v>
      </c>
      <c r="J498" s="9" t="s">
        <v>13</v>
      </c>
      <c r="K498" s="9" t="s">
        <v>14</v>
      </c>
      <c r="L498" s="9" t="s">
        <v>15</v>
      </c>
      <c r="M498" s="9" t="s">
        <v>16</v>
      </c>
      <c r="N498" s="10"/>
      <c r="O498" s="9" t="s">
        <v>17</v>
      </c>
      <c r="P498" s="9" t="s">
        <v>18</v>
      </c>
      <c r="Q498" s="9" t="s">
        <v>16</v>
      </c>
    </row>
    <row r="499" spans="1:17" x14ac:dyDescent="0.3">
      <c r="A499" s="7" t="str">
        <f t="shared" ref="A499:A506" si="181">+A486</f>
        <v>Receptive date</v>
      </c>
      <c r="B499" s="8">
        <f>+B498</f>
        <v>45980</v>
      </c>
      <c r="D499" s="11" t="s">
        <v>20</v>
      </c>
      <c r="E499" s="11" t="s">
        <v>21</v>
      </c>
      <c r="F499" s="12">
        <v>0.21970000000000001</v>
      </c>
      <c r="G499" s="13">
        <f>+F499*B505</f>
        <v>840.57857130000002</v>
      </c>
      <c r="H499" s="12">
        <f>+IF(F499&gt;=20,(F499-3%)/F499,IF(F499&gt;=23,(F499-5.16%)/F499,(F499-3%)/F499))</f>
        <v>0.8634501593081475</v>
      </c>
      <c r="I499" s="13">
        <f>+G499*H499</f>
        <v>725.79770130000009</v>
      </c>
      <c r="J499" s="13">
        <f>+$G$1</f>
        <v>11803.79</v>
      </c>
      <c r="K499" s="13">
        <f>+K486</f>
        <v>300</v>
      </c>
      <c r="L499" s="13">
        <f>+J499-K499</f>
        <v>11503.79</v>
      </c>
      <c r="M499" s="13">
        <f>+I499*L499/1000</f>
        <v>8349.4243382379282</v>
      </c>
      <c r="O499" s="7" t="s">
        <v>22</v>
      </c>
      <c r="P499" s="14" t="s">
        <v>23</v>
      </c>
      <c r="Q499" s="17">
        <f>600*B505/1000</f>
        <v>2295.6174000000001</v>
      </c>
    </row>
    <row r="500" spans="1:17" x14ac:dyDescent="0.3">
      <c r="A500" s="7" t="str">
        <f t="shared" si="181"/>
        <v>Customer lot No.</v>
      </c>
      <c r="B500" s="14" t="s">
        <v>62</v>
      </c>
      <c r="D500" s="11" t="s">
        <v>25</v>
      </c>
      <c r="E500" s="11" t="s">
        <v>26</v>
      </c>
      <c r="F500" s="13">
        <v>101.4</v>
      </c>
      <c r="G500" s="13">
        <f>+B505/1000*F500</f>
        <v>387.95934060000002</v>
      </c>
      <c r="H500" s="12">
        <f>+MIN(0.96,(F500-7)/F500)</f>
        <v>0.93096646942800787</v>
      </c>
      <c r="I500" s="13">
        <f t="shared" ref="I500:I503" si="182">+G500*H500</f>
        <v>361.17713760000004</v>
      </c>
      <c r="J500" s="13">
        <f>+$I$1</f>
        <v>4500</v>
      </c>
      <c r="K500" s="13">
        <f t="shared" ref="K500:K503" si="183">+K487</f>
        <v>5</v>
      </c>
      <c r="L500" s="13">
        <f t="shared" ref="L500:L503" si="184">+J500-K500</f>
        <v>4495</v>
      </c>
      <c r="M500" s="13">
        <f>+I500*L500/31.1034768</f>
        <v>52196.455205033548</v>
      </c>
      <c r="O500" s="7" t="s">
        <v>27</v>
      </c>
      <c r="P500" s="11">
        <v>100</v>
      </c>
      <c r="Q500" s="11">
        <f>+B503*P500/1000</f>
        <v>385.3</v>
      </c>
    </row>
    <row r="501" spans="1:17" x14ac:dyDescent="0.3">
      <c r="A501" s="7" t="str">
        <f t="shared" si="181"/>
        <v>Lot No. (JX)</v>
      </c>
      <c r="B501" s="11">
        <v>1829</v>
      </c>
      <c r="D501" s="11" t="s">
        <v>29</v>
      </c>
      <c r="E501" s="11" t="s">
        <v>26</v>
      </c>
      <c r="F501" s="13">
        <v>742</v>
      </c>
      <c r="G501" s="13">
        <f>+B505/1000*F501</f>
        <v>2838.9135180000003</v>
      </c>
      <c r="H501" s="12">
        <f>+MIN(0.95,MAX(0,(F501-100)/F501))</f>
        <v>0.86522911051212936</v>
      </c>
      <c r="I501" s="13">
        <f t="shared" si="182"/>
        <v>2456.3106180000004</v>
      </c>
      <c r="J501" s="13">
        <f>+$K$1</f>
        <v>64.34</v>
      </c>
      <c r="K501" s="13">
        <f t="shared" si="183"/>
        <v>0.5</v>
      </c>
      <c r="L501" s="13">
        <f t="shared" si="184"/>
        <v>63.84</v>
      </c>
      <c r="M501" s="13">
        <f t="shared" ref="M501:M503" si="185">+I501*L501/31.1034768</f>
        <v>5041.5865358537676</v>
      </c>
      <c r="O501" s="7"/>
      <c r="P501" s="11"/>
      <c r="Q501" s="11"/>
    </row>
    <row r="502" spans="1:17" x14ac:dyDescent="0.3">
      <c r="A502" s="7"/>
      <c r="B502" s="11"/>
      <c r="D502" s="11" t="s">
        <v>30</v>
      </c>
      <c r="E502" s="11" t="s">
        <v>26</v>
      </c>
      <c r="F502" s="13"/>
      <c r="G502" s="13"/>
      <c r="H502" s="11"/>
      <c r="I502" s="13">
        <f t="shared" si="182"/>
        <v>0</v>
      </c>
      <c r="J502" s="13">
        <v>0</v>
      </c>
      <c r="K502" s="13">
        <f t="shared" si="183"/>
        <v>0</v>
      </c>
      <c r="L502" s="13">
        <f t="shared" si="184"/>
        <v>0</v>
      </c>
      <c r="M502" s="13">
        <f t="shared" si="185"/>
        <v>0</v>
      </c>
      <c r="O502" s="7"/>
      <c r="P502" s="11"/>
      <c r="Q502" s="11"/>
    </row>
    <row r="503" spans="1:17" x14ac:dyDescent="0.3">
      <c r="A503" s="7" t="str">
        <f t="shared" si="181"/>
        <v>WMT</v>
      </c>
      <c r="B503" s="13">
        <v>3853</v>
      </c>
      <c r="D503" s="11" t="s">
        <v>32</v>
      </c>
      <c r="E503" s="11" t="s">
        <v>26</v>
      </c>
      <c r="F503" s="13">
        <v>4.4000000000000004</v>
      </c>
      <c r="G503" s="13">
        <f>+B505/1000*F503</f>
        <v>16.834527600000001</v>
      </c>
      <c r="H503" s="12">
        <f>+MAX(0,(F503-18)/F503)</f>
        <v>0</v>
      </c>
      <c r="I503" s="13">
        <f t="shared" si="182"/>
        <v>0</v>
      </c>
      <c r="J503" s="13">
        <f>+$M$1</f>
        <v>1569</v>
      </c>
      <c r="K503" s="13">
        <f t="shared" si="183"/>
        <v>14</v>
      </c>
      <c r="L503" s="13">
        <f t="shared" si="184"/>
        <v>1555</v>
      </c>
      <c r="M503" s="13">
        <f t="shared" si="185"/>
        <v>0</v>
      </c>
      <c r="O503" s="7"/>
      <c r="P503" s="11"/>
      <c r="Q503" s="11"/>
    </row>
    <row r="504" spans="1:17" x14ac:dyDescent="0.3">
      <c r="A504" s="7" t="str">
        <f t="shared" si="181"/>
        <v>Moisture</v>
      </c>
      <c r="B504" s="15">
        <v>7.0000000000000001E-3</v>
      </c>
      <c r="D504" s="11"/>
      <c r="E504" s="11"/>
      <c r="F504" s="13"/>
      <c r="G504" s="13"/>
      <c r="H504" s="11"/>
      <c r="I504" s="11"/>
      <c r="J504" s="13"/>
      <c r="K504" s="13"/>
      <c r="L504" s="13"/>
      <c r="M504" s="13"/>
      <c r="O504" s="7"/>
      <c r="P504" s="11"/>
      <c r="Q504" s="11"/>
    </row>
    <row r="505" spans="1:17" x14ac:dyDescent="0.3">
      <c r="A505" s="7" t="str">
        <f t="shared" si="181"/>
        <v>DMT</v>
      </c>
      <c r="B505" s="13">
        <f>+B503*(1-B504)</f>
        <v>3826.029</v>
      </c>
      <c r="D505" s="11"/>
      <c r="E505" s="11"/>
      <c r="F505" s="13"/>
      <c r="G505" s="13"/>
      <c r="H505" s="11"/>
      <c r="I505" s="11"/>
      <c r="J505" s="13"/>
      <c r="K505" s="13"/>
      <c r="L505" s="13"/>
      <c r="M505" s="13"/>
      <c r="O505" s="7" t="s">
        <v>35</v>
      </c>
      <c r="P505" s="13">
        <v>0</v>
      </c>
      <c r="Q505" s="13">
        <v>0</v>
      </c>
    </row>
    <row r="506" spans="1:17" x14ac:dyDescent="0.3">
      <c r="A506" s="7" t="str">
        <f t="shared" si="181"/>
        <v>Resultado USD / Kg</v>
      </c>
      <c r="B506" s="13">
        <f>+U508/B503</f>
        <v>0</v>
      </c>
      <c r="D506" s="11"/>
      <c r="E506" s="11"/>
      <c r="F506" s="11"/>
      <c r="G506" s="13"/>
      <c r="H506" s="11"/>
      <c r="I506" s="11"/>
      <c r="J506" s="13"/>
      <c r="K506" s="13"/>
      <c r="L506" s="13"/>
      <c r="M506" s="13"/>
      <c r="O506" s="7" t="s">
        <v>37</v>
      </c>
      <c r="P506" s="13">
        <v>0</v>
      </c>
      <c r="Q506" s="13">
        <v>0</v>
      </c>
    </row>
    <row r="507" spans="1:17" x14ac:dyDescent="0.3">
      <c r="A507" s="18" t="s">
        <v>61</v>
      </c>
      <c r="B507" s="13"/>
      <c r="C507" s="20"/>
      <c r="D507" s="11"/>
      <c r="E507" s="11"/>
      <c r="F507" s="11"/>
      <c r="G507" s="13"/>
      <c r="H507" s="11"/>
      <c r="I507" s="11"/>
      <c r="J507" s="13"/>
      <c r="K507" s="13"/>
      <c r="L507" s="13"/>
      <c r="M507" s="13"/>
      <c r="O507" s="7"/>
      <c r="P507" s="11"/>
      <c r="Q507" s="11"/>
    </row>
    <row r="508" spans="1:17" x14ac:dyDescent="0.3">
      <c r="D508" s="11"/>
      <c r="E508" s="11"/>
      <c r="F508" s="11"/>
      <c r="G508" s="13"/>
      <c r="H508" s="11"/>
      <c r="I508" s="11"/>
      <c r="J508" s="13"/>
      <c r="K508" s="13"/>
      <c r="L508" s="13"/>
      <c r="M508" s="13"/>
      <c r="O508" s="7"/>
      <c r="P508" s="11"/>
      <c r="Q508" s="11"/>
    </row>
    <row r="510" spans="1:17" x14ac:dyDescent="0.3">
      <c r="A510" s="6" t="s">
        <v>5</v>
      </c>
      <c r="B510" s="6"/>
      <c r="D510" s="6" t="s">
        <v>6</v>
      </c>
      <c r="E510" s="6"/>
      <c r="F510" s="6"/>
      <c r="G510" s="6"/>
      <c r="H510" s="6"/>
      <c r="I510" s="6"/>
      <c r="J510" s="6"/>
      <c r="K510" s="6"/>
      <c r="L510" s="6"/>
      <c r="M510" s="6"/>
      <c r="O510" s="6" t="s">
        <v>7</v>
      </c>
      <c r="P510" s="6"/>
      <c r="Q510" s="6"/>
    </row>
    <row r="511" spans="1:17" x14ac:dyDescent="0.3">
      <c r="A511" s="7" t="str">
        <f>+A498</f>
        <v>Arrival date</v>
      </c>
      <c r="B511" s="8">
        <f>+B498</f>
        <v>45980</v>
      </c>
      <c r="D511" s="6" t="s">
        <v>9</v>
      </c>
      <c r="E511" s="6"/>
      <c r="F511" s="6"/>
      <c r="G511" s="9" t="s">
        <v>10</v>
      </c>
      <c r="H511" s="9" t="s">
        <v>11</v>
      </c>
      <c r="I511" s="9" t="s">
        <v>12</v>
      </c>
      <c r="J511" s="9" t="s">
        <v>13</v>
      </c>
      <c r="K511" s="9" t="s">
        <v>14</v>
      </c>
      <c r="L511" s="9" t="s">
        <v>15</v>
      </c>
      <c r="M511" s="9" t="s">
        <v>16</v>
      </c>
      <c r="N511" s="10"/>
      <c r="O511" s="9" t="s">
        <v>17</v>
      </c>
      <c r="P511" s="9" t="s">
        <v>18</v>
      </c>
      <c r="Q511" s="9" t="s">
        <v>16</v>
      </c>
    </row>
    <row r="512" spans="1:17" x14ac:dyDescent="0.3">
      <c r="A512" s="7" t="str">
        <f t="shared" ref="A512:A519" si="186">+A499</f>
        <v>Receptive date</v>
      </c>
      <c r="B512" s="8">
        <f>+B511</f>
        <v>45980</v>
      </c>
      <c r="D512" s="11" t="s">
        <v>20</v>
      </c>
      <c r="E512" s="11" t="s">
        <v>21</v>
      </c>
      <c r="F512" s="12">
        <v>0.35920000000000002</v>
      </c>
      <c r="G512" s="13">
        <f>+F512*B518</f>
        <v>207.80007360000002</v>
      </c>
      <c r="H512" s="12">
        <f>+IF(F512&gt;=20,(F512-3%)/F512,IF(F512&gt;=23,(F512-5.16%)/F512,(F512-3%)/F512))</f>
        <v>0.9164810690423163</v>
      </c>
      <c r="I512" s="13">
        <f>+G512*H512</f>
        <v>190.44483360000004</v>
      </c>
      <c r="J512" s="13">
        <f>+$G$1</f>
        <v>11803.79</v>
      </c>
      <c r="K512" s="13">
        <f>+K499</f>
        <v>300</v>
      </c>
      <c r="L512" s="13">
        <f>+J512-K512</f>
        <v>11503.79</v>
      </c>
      <c r="M512" s="13">
        <f>+I512*L512/1000</f>
        <v>2190.8373723193445</v>
      </c>
      <c r="O512" s="7" t="s">
        <v>22</v>
      </c>
      <c r="P512" s="14" t="s">
        <v>23</v>
      </c>
      <c r="Q512" s="17">
        <f>600*B518/1000</f>
        <v>347.10480000000007</v>
      </c>
    </row>
    <row r="513" spans="1:17" x14ac:dyDescent="0.3">
      <c r="A513" s="7" t="str">
        <f t="shared" si="186"/>
        <v>Customer lot No.</v>
      </c>
      <c r="B513" s="14" t="s">
        <v>63</v>
      </c>
      <c r="D513" s="11" t="s">
        <v>25</v>
      </c>
      <c r="E513" s="11" t="s">
        <v>26</v>
      </c>
      <c r="F513" s="13">
        <v>319</v>
      </c>
      <c r="G513" s="13">
        <f>+B518/1000*F513</f>
        <v>184.54405199999999</v>
      </c>
      <c r="H513" s="12">
        <f>+MIN(0.96,(F513-7)/F513)</f>
        <v>0.96</v>
      </c>
      <c r="I513" s="13">
        <f t="shared" ref="I513:I516" si="187">+G513*H513</f>
        <v>177.16228991999998</v>
      </c>
      <c r="J513" s="13">
        <f>+$I$1</f>
        <v>4500</v>
      </c>
      <c r="K513" s="13">
        <f t="shared" ref="K513:K516" si="188">+K500</f>
        <v>5</v>
      </c>
      <c r="L513" s="13">
        <f t="shared" ref="L513:L516" si="189">+J513-K513</f>
        <v>4495</v>
      </c>
      <c r="M513" s="13">
        <f>+I513*L513/31.1034768</f>
        <v>25603.069981887042</v>
      </c>
      <c r="O513" s="7" t="s">
        <v>27</v>
      </c>
      <c r="P513" s="11">
        <v>100</v>
      </c>
      <c r="Q513" s="11">
        <f>+B516*P513/1000</f>
        <v>58.2</v>
      </c>
    </row>
    <row r="514" spans="1:17" x14ac:dyDescent="0.3">
      <c r="A514" s="7" t="str">
        <f t="shared" si="186"/>
        <v>Lot No. (JX)</v>
      </c>
      <c r="B514" s="11">
        <v>1830</v>
      </c>
      <c r="D514" s="11" t="s">
        <v>29</v>
      </c>
      <c r="E514" s="11" t="s">
        <v>26</v>
      </c>
      <c r="F514" s="13">
        <v>134</v>
      </c>
      <c r="G514" s="13">
        <f>+B518/1000*F514</f>
        <v>77.520071999999999</v>
      </c>
      <c r="H514" s="12">
        <f>+MIN(0.95,MAX(0,(F514-100)/F514))</f>
        <v>0.2537313432835821</v>
      </c>
      <c r="I514" s="13">
        <f t="shared" si="187"/>
        <v>19.669271999999999</v>
      </c>
      <c r="J514" s="13">
        <f>+$K$1</f>
        <v>64.34</v>
      </c>
      <c r="K514" s="13">
        <f t="shared" si="188"/>
        <v>0.5</v>
      </c>
      <c r="L514" s="13">
        <f t="shared" si="189"/>
        <v>63.84</v>
      </c>
      <c r="M514" s="13">
        <f t="shared" ref="M514:M516" si="190">+I514*L514/31.1034768</f>
        <v>40.371252788048437</v>
      </c>
      <c r="O514" s="7"/>
      <c r="P514" s="11"/>
      <c r="Q514" s="11"/>
    </row>
    <row r="515" spans="1:17" x14ac:dyDescent="0.3">
      <c r="A515" s="7"/>
      <c r="B515" s="11"/>
      <c r="D515" s="11" t="s">
        <v>30</v>
      </c>
      <c r="E515" s="11" t="s">
        <v>26</v>
      </c>
      <c r="F515" s="13"/>
      <c r="G515" s="13"/>
      <c r="H515" s="11"/>
      <c r="I515" s="13">
        <f t="shared" si="187"/>
        <v>0</v>
      </c>
      <c r="J515" s="13">
        <v>0</v>
      </c>
      <c r="K515" s="13">
        <f t="shared" si="188"/>
        <v>0</v>
      </c>
      <c r="L515" s="13">
        <f t="shared" si="189"/>
        <v>0</v>
      </c>
      <c r="M515" s="13">
        <f t="shared" si="190"/>
        <v>0</v>
      </c>
      <c r="O515" s="7"/>
      <c r="P515" s="11"/>
      <c r="Q515" s="11"/>
    </row>
    <row r="516" spans="1:17" x14ac:dyDescent="0.3">
      <c r="A516" s="7" t="str">
        <f t="shared" si="186"/>
        <v>WMT</v>
      </c>
      <c r="B516" s="13">
        <v>582</v>
      </c>
      <c r="D516" s="11" t="s">
        <v>32</v>
      </c>
      <c r="E516" s="11" t="s">
        <v>26</v>
      </c>
      <c r="F516" s="13">
        <v>62.6</v>
      </c>
      <c r="G516" s="13">
        <f>+B518/1000*F516</f>
        <v>36.214600799999999</v>
      </c>
      <c r="H516" s="12">
        <f>+MAX(0,(F516-18)/F516)</f>
        <v>0.71246006389776362</v>
      </c>
      <c r="I516" s="13">
        <f t="shared" si="187"/>
        <v>25.8014568</v>
      </c>
      <c r="J516" s="13">
        <f>+$M$1</f>
        <v>1569</v>
      </c>
      <c r="K516" s="13">
        <f t="shared" si="188"/>
        <v>14</v>
      </c>
      <c r="L516" s="13">
        <f t="shared" si="189"/>
        <v>1555</v>
      </c>
      <c r="M516" s="13">
        <f t="shared" si="190"/>
        <v>1289.9286334446058</v>
      </c>
      <c r="O516" s="7"/>
      <c r="P516" s="11"/>
      <c r="Q516" s="11"/>
    </row>
    <row r="517" spans="1:17" x14ac:dyDescent="0.3">
      <c r="A517" s="7" t="str">
        <f t="shared" si="186"/>
        <v>Moisture</v>
      </c>
      <c r="B517" s="15">
        <v>6.0000000000000001E-3</v>
      </c>
      <c r="D517" s="11"/>
      <c r="E517" s="11"/>
      <c r="F517" s="11"/>
      <c r="G517" s="13"/>
      <c r="H517" s="11"/>
      <c r="I517" s="11"/>
      <c r="J517" s="13"/>
      <c r="K517" s="13"/>
      <c r="L517" s="13"/>
      <c r="M517" s="13"/>
      <c r="O517" s="7"/>
      <c r="P517" s="11"/>
      <c r="Q517" s="11"/>
    </row>
    <row r="518" spans="1:17" x14ac:dyDescent="0.3">
      <c r="A518" s="7" t="str">
        <f t="shared" si="186"/>
        <v>DMT</v>
      </c>
      <c r="B518" s="13">
        <f>+B516*(1-B517)</f>
        <v>578.50800000000004</v>
      </c>
      <c r="D518" s="11"/>
      <c r="E518" s="11"/>
      <c r="F518" s="11"/>
      <c r="G518" s="13"/>
      <c r="H518" s="11"/>
      <c r="I518" s="11"/>
      <c r="J518" s="13"/>
      <c r="K518" s="13"/>
      <c r="L518" s="13"/>
      <c r="M518" s="13"/>
      <c r="O518" s="7" t="s">
        <v>35</v>
      </c>
      <c r="P518" s="13">
        <v>0</v>
      </c>
      <c r="Q518" s="13">
        <v>0</v>
      </c>
    </row>
    <row r="519" spans="1:17" x14ac:dyDescent="0.3">
      <c r="A519" s="7" t="str">
        <f t="shared" si="186"/>
        <v>Resultado USD / Kg</v>
      </c>
      <c r="B519" s="13">
        <f>+U521/B516</f>
        <v>0</v>
      </c>
      <c r="D519" s="11"/>
      <c r="E519" s="11"/>
      <c r="F519" s="11"/>
      <c r="G519" s="13"/>
      <c r="H519" s="11"/>
      <c r="I519" s="11"/>
      <c r="J519" s="13"/>
      <c r="K519" s="13"/>
      <c r="L519" s="13"/>
      <c r="M519" s="13"/>
      <c r="O519" s="7" t="s">
        <v>37</v>
      </c>
      <c r="P519" s="13">
        <v>0</v>
      </c>
      <c r="Q519" s="13">
        <v>0</v>
      </c>
    </row>
    <row r="520" spans="1:17" x14ac:dyDescent="0.3">
      <c r="A520" s="18" t="s">
        <v>76</v>
      </c>
      <c r="B520" s="13"/>
      <c r="C520" s="20"/>
      <c r="D520" s="11"/>
      <c r="E520" s="11"/>
      <c r="F520" s="11"/>
      <c r="G520" s="13"/>
      <c r="H520" s="11"/>
      <c r="I520" s="11"/>
      <c r="J520" s="13"/>
      <c r="K520" s="13"/>
      <c r="L520" s="13"/>
      <c r="M520" s="13"/>
      <c r="O520" s="7"/>
      <c r="P520" s="11"/>
      <c r="Q520" s="11"/>
    </row>
    <row r="521" spans="1:17" x14ac:dyDescent="0.3">
      <c r="D521" s="11"/>
      <c r="E521" s="11"/>
      <c r="F521" s="11"/>
      <c r="G521" s="13"/>
      <c r="H521" s="11"/>
      <c r="I521" s="11"/>
      <c r="J521" s="13"/>
      <c r="K521" s="13"/>
      <c r="L521" s="13"/>
      <c r="M521" s="13"/>
      <c r="O521" s="7"/>
      <c r="P521" s="11"/>
      <c r="Q521" s="11"/>
    </row>
    <row r="523" spans="1:17" x14ac:dyDescent="0.3">
      <c r="A523" s="6" t="s">
        <v>5</v>
      </c>
      <c r="B523" s="6"/>
      <c r="D523" s="6" t="s">
        <v>6</v>
      </c>
      <c r="E523" s="6"/>
      <c r="F523" s="6"/>
      <c r="G523" s="6"/>
      <c r="H523" s="6"/>
      <c r="I523" s="6"/>
      <c r="J523" s="6"/>
      <c r="K523" s="6"/>
      <c r="L523" s="6"/>
      <c r="M523" s="6"/>
      <c r="O523" s="6" t="s">
        <v>7</v>
      </c>
      <c r="P523" s="6"/>
      <c r="Q523" s="6"/>
    </row>
    <row r="524" spans="1:17" x14ac:dyDescent="0.3">
      <c r="A524" s="7" t="str">
        <f>+A511</f>
        <v>Arrival date</v>
      </c>
      <c r="B524" s="8">
        <f>+B511</f>
        <v>45980</v>
      </c>
      <c r="D524" s="6" t="s">
        <v>9</v>
      </c>
      <c r="E524" s="6"/>
      <c r="F524" s="6"/>
      <c r="G524" s="9" t="s">
        <v>10</v>
      </c>
      <c r="H524" s="9" t="s">
        <v>11</v>
      </c>
      <c r="I524" s="9" t="s">
        <v>12</v>
      </c>
      <c r="J524" s="9" t="s">
        <v>13</v>
      </c>
      <c r="K524" s="9" t="s">
        <v>14</v>
      </c>
      <c r="L524" s="9" t="s">
        <v>15</v>
      </c>
      <c r="M524" s="9" t="s">
        <v>16</v>
      </c>
      <c r="N524" s="10"/>
      <c r="O524" s="9" t="s">
        <v>17</v>
      </c>
      <c r="P524" s="9" t="s">
        <v>18</v>
      </c>
      <c r="Q524" s="9" t="s">
        <v>16</v>
      </c>
    </row>
    <row r="525" spans="1:17" x14ac:dyDescent="0.3">
      <c r="A525" s="7" t="str">
        <f t="shared" ref="A525:A532" si="191">+A512</f>
        <v>Receptive date</v>
      </c>
      <c r="B525" s="8">
        <f>+B524</f>
        <v>45980</v>
      </c>
      <c r="D525" s="11" t="s">
        <v>20</v>
      </c>
      <c r="E525" s="11" t="s">
        <v>21</v>
      </c>
      <c r="F525" s="12">
        <v>0.29339999999999999</v>
      </c>
      <c r="G525" s="13">
        <f>+F525*B531</f>
        <v>76.271090400000006</v>
      </c>
      <c r="H525" s="12">
        <f>+IF(F525&gt;=20,(F525-3%)/F525,IF(F525&gt;=23,(F525-5.16%)/F525,(F525-3%)/F525))</f>
        <v>0.89775051124744365</v>
      </c>
      <c r="I525" s="13">
        <f>+G525*H525</f>
        <v>68.472410400000001</v>
      </c>
      <c r="J525" s="13">
        <f>+$G$1</f>
        <v>11803.79</v>
      </c>
      <c r="K525" s="13">
        <f>+K512</f>
        <v>300</v>
      </c>
      <c r="L525" s="13">
        <f>+J525-K525</f>
        <v>11503.79</v>
      </c>
      <c r="M525" s="13">
        <f>+I525*L525/1000</f>
        <v>787.69223003541606</v>
      </c>
      <c r="O525" s="7" t="s">
        <v>22</v>
      </c>
      <c r="P525" s="14" t="s">
        <v>23</v>
      </c>
      <c r="Q525" s="17">
        <f>600*B531/1000</f>
        <v>155.9736</v>
      </c>
    </row>
    <row r="526" spans="1:17" x14ac:dyDescent="0.3">
      <c r="A526" s="7" t="str">
        <f t="shared" si="191"/>
        <v>Customer lot No.</v>
      </c>
      <c r="B526" s="14" t="s">
        <v>77</v>
      </c>
      <c r="D526" s="11" t="s">
        <v>25</v>
      </c>
      <c r="E526" s="11" t="s">
        <v>26</v>
      </c>
      <c r="F526" s="13">
        <v>128.30000000000001</v>
      </c>
      <c r="G526" s="13">
        <f>+B531/1000*F526</f>
        <v>33.352354800000008</v>
      </c>
      <c r="H526" s="12">
        <f>+MIN(0.96,(F526-7)/F526)</f>
        <v>0.94544037412314885</v>
      </c>
      <c r="I526" s="13">
        <f t="shared" ref="I526:I529" si="192">+G526*H526</f>
        <v>31.532662800000008</v>
      </c>
      <c r="J526" s="13">
        <f>+$I$1</f>
        <v>4500</v>
      </c>
      <c r="K526" s="13">
        <f t="shared" ref="K526:K529" si="193">+K513</f>
        <v>5</v>
      </c>
      <c r="L526" s="13">
        <f t="shared" ref="L526:L529" si="194">+J526-K526</f>
        <v>4495</v>
      </c>
      <c r="M526" s="13">
        <f>+I526*L526/31.1034768</f>
        <v>4557.0249331740315</v>
      </c>
      <c r="O526" s="7" t="s">
        <v>27</v>
      </c>
      <c r="P526" s="11">
        <v>100</v>
      </c>
      <c r="Q526" s="11">
        <f>+B529*P526/1000</f>
        <v>26.1</v>
      </c>
    </row>
    <row r="527" spans="1:17" x14ac:dyDescent="0.3">
      <c r="A527" s="7" t="str">
        <f t="shared" si="191"/>
        <v>Lot No. (JX)</v>
      </c>
      <c r="B527" s="11">
        <v>1831</v>
      </c>
      <c r="D527" s="11" t="s">
        <v>29</v>
      </c>
      <c r="E527" s="11" t="s">
        <v>26</v>
      </c>
      <c r="F527" s="13">
        <v>951</v>
      </c>
      <c r="G527" s="13">
        <f>+B531/1000*F527</f>
        <v>247.21815600000002</v>
      </c>
      <c r="H527" s="12">
        <f>+MIN(0.95,MAX(0,(F527-100)/F527))</f>
        <v>0.89484752891692954</v>
      </c>
      <c r="I527" s="13">
        <f t="shared" si="192"/>
        <v>221.22255600000003</v>
      </c>
      <c r="J527" s="13">
        <f>+$K$1</f>
        <v>64.34</v>
      </c>
      <c r="K527" s="13">
        <f t="shared" si="193"/>
        <v>0.5</v>
      </c>
      <c r="L527" s="13">
        <f t="shared" si="194"/>
        <v>63.84</v>
      </c>
      <c r="M527" s="13">
        <f t="shared" ref="M527:M529" si="195">+I527*L527/31.1034768</f>
        <v>454.06010607277199</v>
      </c>
      <c r="O527" s="7"/>
      <c r="P527" s="11"/>
      <c r="Q527" s="11"/>
    </row>
    <row r="528" spans="1:17" x14ac:dyDescent="0.3">
      <c r="A528" s="7"/>
      <c r="B528" s="11"/>
      <c r="D528" s="11" t="s">
        <v>30</v>
      </c>
      <c r="E528" s="11" t="s">
        <v>26</v>
      </c>
      <c r="F528" s="13"/>
      <c r="G528" s="13"/>
      <c r="H528" s="11"/>
      <c r="I528" s="13">
        <f t="shared" si="192"/>
        <v>0</v>
      </c>
      <c r="J528" s="13">
        <v>0</v>
      </c>
      <c r="K528" s="13">
        <f t="shared" si="193"/>
        <v>0</v>
      </c>
      <c r="L528" s="13">
        <f t="shared" si="194"/>
        <v>0</v>
      </c>
      <c r="M528" s="13">
        <f t="shared" si="195"/>
        <v>0</v>
      </c>
      <c r="O528" s="7"/>
      <c r="P528" s="11"/>
      <c r="Q528" s="11"/>
    </row>
    <row r="529" spans="1:17" x14ac:dyDescent="0.3">
      <c r="A529" s="7" t="str">
        <f t="shared" si="191"/>
        <v>WMT</v>
      </c>
      <c r="B529" s="13">
        <v>261</v>
      </c>
      <c r="D529" s="11" t="s">
        <v>32</v>
      </c>
      <c r="E529" s="11" t="s">
        <v>26</v>
      </c>
      <c r="F529" s="13">
        <v>10.4</v>
      </c>
      <c r="G529" s="13">
        <f>+B531/1000*F529</f>
        <v>2.7035424000000003</v>
      </c>
      <c r="H529" s="12">
        <f>+MAX(0,(F529-18)/F529)</f>
        <v>0</v>
      </c>
      <c r="I529" s="13">
        <f t="shared" si="192"/>
        <v>0</v>
      </c>
      <c r="J529" s="13">
        <f>+$M$1</f>
        <v>1569</v>
      </c>
      <c r="K529" s="13">
        <f t="shared" si="193"/>
        <v>14</v>
      </c>
      <c r="L529" s="13">
        <f t="shared" si="194"/>
        <v>1555</v>
      </c>
      <c r="M529" s="13">
        <f t="shared" si="195"/>
        <v>0</v>
      </c>
      <c r="O529" s="7"/>
      <c r="P529" s="11"/>
      <c r="Q529" s="11"/>
    </row>
    <row r="530" spans="1:17" x14ac:dyDescent="0.3">
      <c r="A530" s="7" t="str">
        <f t="shared" si="191"/>
        <v>Moisture</v>
      </c>
      <c r="B530" s="15">
        <v>4.0000000000000001E-3</v>
      </c>
      <c r="D530" s="11"/>
      <c r="E530" s="11"/>
      <c r="F530" s="11"/>
      <c r="G530" s="13"/>
      <c r="H530" s="11"/>
      <c r="I530" s="11"/>
      <c r="J530" s="13"/>
      <c r="K530" s="13"/>
      <c r="L530" s="13"/>
      <c r="M530" s="13"/>
      <c r="O530" s="7"/>
      <c r="P530" s="11"/>
      <c r="Q530" s="11"/>
    </row>
    <row r="531" spans="1:17" x14ac:dyDescent="0.3">
      <c r="A531" s="7" t="str">
        <f t="shared" si="191"/>
        <v>DMT</v>
      </c>
      <c r="B531" s="13">
        <f>+B529*(1-B530)</f>
        <v>259.95600000000002</v>
      </c>
      <c r="D531" s="11"/>
      <c r="E531" s="11"/>
      <c r="F531" s="11"/>
      <c r="G531" s="13"/>
      <c r="H531" s="11"/>
      <c r="I531" s="11"/>
      <c r="J531" s="13"/>
      <c r="K531" s="13"/>
      <c r="L531" s="13"/>
      <c r="M531" s="13"/>
      <c r="O531" s="7" t="s">
        <v>35</v>
      </c>
      <c r="P531" s="13">
        <v>0</v>
      </c>
      <c r="Q531" s="13">
        <v>0</v>
      </c>
    </row>
    <row r="532" spans="1:17" x14ac:dyDescent="0.3">
      <c r="A532" s="7" t="str">
        <f t="shared" si="191"/>
        <v>Resultado USD / Kg</v>
      </c>
      <c r="B532" s="13">
        <f>+U534/B529</f>
        <v>0</v>
      </c>
      <c r="D532" s="11"/>
      <c r="E532" s="11"/>
      <c r="F532" s="11"/>
      <c r="G532" s="13"/>
      <c r="H532" s="11"/>
      <c r="I532" s="11"/>
      <c r="J532" s="13"/>
      <c r="K532" s="13"/>
      <c r="L532" s="13"/>
      <c r="M532" s="13"/>
      <c r="O532" s="7" t="s">
        <v>37</v>
      </c>
      <c r="P532" s="13">
        <v>0</v>
      </c>
      <c r="Q532" s="13">
        <v>0</v>
      </c>
    </row>
    <row r="533" spans="1:17" x14ac:dyDescent="0.3">
      <c r="A533" s="16" t="s">
        <v>78</v>
      </c>
      <c r="B533" s="13"/>
      <c r="C533" s="20"/>
      <c r="D533" s="11"/>
      <c r="E533" s="11"/>
      <c r="F533" s="11"/>
      <c r="G533" s="13"/>
      <c r="H533" s="11"/>
      <c r="I533" s="11"/>
      <c r="J533" s="13"/>
      <c r="K533" s="13"/>
      <c r="L533" s="13"/>
      <c r="M533" s="13"/>
      <c r="O533" s="7"/>
      <c r="P533" s="11"/>
      <c r="Q533" s="11"/>
    </row>
    <row r="534" spans="1:17" x14ac:dyDescent="0.3">
      <c r="D534" s="11"/>
      <c r="E534" s="11"/>
      <c r="F534" s="11"/>
      <c r="G534" s="13"/>
      <c r="H534" s="11"/>
      <c r="I534" s="11"/>
      <c r="J534" s="13"/>
      <c r="K534" s="13"/>
      <c r="L534" s="13"/>
      <c r="M534" s="13"/>
      <c r="O534" s="7"/>
      <c r="P534" s="11"/>
      <c r="Q534" s="11"/>
    </row>
    <row r="536" spans="1:17" x14ac:dyDescent="0.3">
      <c r="A536" s="6" t="s">
        <v>5</v>
      </c>
      <c r="B536" s="6"/>
      <c r="D536" s="6" t="s">
        <v>6</v>
      </c>
      <c r="E536" s="6"/>
      <c r="F536" s="6"/>
      <c r="G536" s="6"/>
      <c r="H536" s="6"/>
      <c r="I536" s="6"/>
      <c r="J536" s="6"/>
      <c r="K536" s="6"/>
      <c r="L536" s="6"/>
      <c r="M536" s="6"/>
      <c r="O536" s="6" t="s">
        <v>7</v>
      </c>
      <c r="P536" s="6"/>
      <c r="Q536" s="6"/>
    </row>
    <row r="537" spans="1:17" x14ac:dyDescent="0.3">
      <c r="A537" s="7" t="str">
        <f>+A524</f>
        <v>Arrival date</v>
      </c>
      <c r="B537" s="8">
        <v>45982</v>
      </c>
      <c r="D537" s="6" t="s">
        <v>9</v>
      </c>
      <c r="E537" s="6"/>
      <c r="F537" s="6"/>
      <c r="G537" s="9" t="s">
        <v>10</v>
      </c>
      <c r="H537" s="9" t="s">
        <v>11</v>
      </c>
      <c r="I537" s="9" t="s">
        <v>12</v>
      </c>
      <c r="J537" s="9" t="s">
        <v>13</v>
      </c>
      <c r="K537" s="9" t="s">
        <v>14</v>
      </c>
      <c r="L537" s="9" t="s">
        <v>15</v>
      </c>
      <c r="M537" s="9" t="s">
        <v>16</v>
      </c>
      <c r="N537" s="10"/>
      <c r="O537" s="9" t="s">
        <v>17</v>
      </c>
      <c r="P537" s="9" t="s">
        <v>18</v>
      </c>
      <c r="Q537" s="9" t="s">
        <v>16</v>
      </c>
    </row>
    <row r="538" spans="1:17" x14ac:dyDescent="0.3">
      <c r="A538" s="7" t="str">
        <f t="shared" ref="A538:A545" si="196">+A525</f>
        <v>Receptive date</v>
      </c>
      <c r="B538" s="8">
        <f>+B537</f>
        <v>45982</v>
      </c>
      <c r="D538" s="11" t="s">
        <v>20</v>
      </c>
      <c r="E538" s="11" t="s">
        <v>21</v>
      </c>
      <c r="F538" s="12">
        <v>0.12509999999999999</v>
      </c>
      <c r="G538" s="13">
        <f>+F538*B544</f>
        <v>1.4981975999999997</v>
      </c>
      <c r="H538" s="12">
        <f>+IF(F538&gt;=20,(F538-3%)/F538,IF(F538&gt;=23,(F538-5.16%)/F538,(F538-3%)/F538))</f>
        <v>0.76019184652278171</v>
      </c>
      <c r="I538" s="13">
        <f>+G538*H538</f>
        <v>1.1389175999999996</v>
      </c>
      <c r="J538" s="13">
        <f>+$G$1</f>
        <v>11803.79</v>
      </c>
      <c r="K538" s="13">
        <f>+K525</f>
        <v>300</v>
      </c>
      <c r="L538" s="13">
        <f>+J538-K538</f>
        <v>11503.79</v>
      </c>
      <c r="M538" s="13">
        <f>+I538*L538/1000</f>
        <v>13.101868897703996</v>
      </c>
      <c r="O538" s="7" t="s">
        <v>22</v>
      </c>
      <c r="P538" s="14" t="s">
        <v>23</v>
      </c>
      <c r="Q538" s="17">
        <f>600*B544/1000</f>
        <v>7.1855999999999991</v>
      </c>
    </row>
    <row r="539" spans="1:17" x14ac:dyDescent="0.3">
      <c r="A539" s="7" t="str">
        <f t="shared" si="196"/>
        <v>Customer lot No.</v>
      </c>
      <c r="B539" s="14" t="s">
        <v>64</v>
      </c>
      <c r="D539" s="11" t="s">
        <v>25</v>
      </c>
      <c r="E539" s="11" t="s">
        <v>26</v>
      </c>
      <c r="F539" s="13">
        <v>4573.8999999999996</v>
      </c>
      <c r="G539" s="13">
        <f>+B544/1000*F539</f>
        <v>54.77702639999999</v>
      </c>
      <c r="H539" s="12">
        <f>+MIN(0.96,(F539-7)/F539)</f>
        <v>0.96</v>
      </c>
      <c r="I539" s="13">
        <f t="shared" ref="I539:I542" si="197">+G539*H539</f>
        <v>52.585945343999988</v>
      </c>
      <c r="J539" s="13">
        <f>+$I$1</f>
        <v>4500</v>
      </c>
      <c r="K539" s="13">
        <f t="shared" ref="K539:K542" si="198">+K526</f>
        <v>5</v>
      </c>
      <c r="L539" s="13">
        <f t="shared" ref="L539:L542" si="199">+J539-K539</f>
        <v>4495</v>
      </c>
      <c r="M539" s="13">
        <f>+I539*L539/31.1034768</f>
        <v>7599.5949212108644</v>
      </c>
      <c r="O539" s="7" t="s">
        <v>27</v>
      </c>
      <c r="P539" s="11">
        <v>100</v>
      </c>
      <c r="Q539" s="11">
        <f>+B542*P539/1000</f>
        <v>1.2</v>
      </c>
    </row>
    <row r="540" spans="1:17" x14ac:dyDescent="0.3">
      <c r="A540" s="7" t="str">
        <f t="shared" si="196"/>
        <v>Lot No. (JX)</v>
      </c>
      <c r="B540" s="11">
        <v>2288</v>
      </c>
      <c r="D540" s="11" t="s">
        <v>29</v>
      </c>
      <c r="E540" s="11" t="s">
        <v>26</v>
      </c>
      <c r="F540" s="13">
        <v>5157</v>
      </c>
      <c r="G540" s="13">
        <f>+B544/1000*F540</f>
        <v>61.760231999999995</v>
      </c>
      <c r="H540" s="12">
        <f>+MIN(0.95,MAX(0,(F540-100)/F540))</f>
        <v>0.95</v>
      </c>
      <c r="I540" s="13">
        <f t="shared" si="197"/>
        <v>58.672220399999993</v>
      </c>
      <c r="J540" s="13">
        <f>+$K$1</f>
        <v>64.34</v>
      </c>
      <c r="K540" s="13">
        <f t="shared" si="198"/>
        <v>0.5</v>
      </c>
      <c r="L540" s="13">
        <f t="shared" si="199"/>
        <v>63.84</v>
      </c>
      <c r="M540" s="13">
        <f t="shared" ref="M540:M542" si="200">+I540*L540/31.1034768</f>
        <v>120.42494716654956</v>
      </c>
      <c r="O540" s="7"/>
      <c r="P540" s="11"/>
      <c r="Q540" s="11"/>
    </row>
    <row r="541" spans="1:17" x14ac:dyDescent="0.3">
      <c r="A541" s="7"/>
      <c r="B541" s="11"/>
      <c r="D541" s="11" t="s">
        <v>30</v>
      </c>
      <c r="E541" s="11" t="s">
        <v>26</v>
      </c>
      <c r="F541" s="13"/>
      <c r="G541" s="13"/>
      <c r="H541" s="11"/>
      <c r="I541" s="13">
        <f t="shared" si="197"/>
        <v>0</v>
      </c>
      <c r="J541" s="13">
        <v>0</v>
      </c>
      <c r="K541" s="13">
        <f t="shared" si="198"/>
        <v>0</v>
      </c>
      <c r="L541" s="13">
        <f t="shared" si="199"/>
        <v>0</v>
      </c>
      <c r="M541" s="13">
        <f t="shared" si="200"/>
        <v>0</v>
      </c>
      <c r="O541" s="7"/>
      <c r="P541" s="11"/>
      <c r="Q541" s="11"/>
    </row>
    <row r="542" spans="1:17" x14ac:dyDescent="0.3">
      <c r="A542" s="7" t="str">
        <f t="shared" si="196"/>
        <v>WMT</v>
      </c>
      <c r="B542" s="13">
        <v>12</v>
      </c>
      <c r="D542" s="11" t="s">
        <v>32</v>
      </c>
      <c r="E542" s="11" t="s">
        <v>26</v>
      </c>
      <c r="F542" s="13">
        <v>21.4</v>
      </c>
      <c r="G542" s="13">
        <f>+B544/1000*F542</f>
        <v>0.25628639999999997</v>
      </c>
      <c r="H542" s="12">
        <f>+MAX(0,(F542-18)/F542)</f>
        <v>0.15887850467289713</v>
      </c>
      <c r="I542" s="13">
        <f t="shared" si="197"/>
        <v>4.0718399999999981E-2</v>
      </c>
      <c r="J542" s="13">
        <f>+$M$1</f>
        <v>1569</v>
      </c>
      <c r="K542" s="13">
        <f t="shared" si="198"/>
        <v>14</v>
      </c>
      <c r="L542" s="13">
        <f t="shared" si="199"/>
        <v>1555</v>
      </c>
      <c r="M542" s="13">
        <f t="shared" si="200"/>
        <v>2.0356924213694327</v>
      </c>
      <c r="O542" s="7"/>
      <c r="P542" s="11"/>
      <c r="Q542" s="11"/>
    </row>
    <row r="543" spans="1:17" x14ac:dyDescent="0.3">
      <c r="A543" s="7" t="str">
        <f t="shared" si="196"/>
        <v>Moisture</v>
      </c>
      <c r="B543" s="15">
        <v>2E-3</v>
      </c>
      <c r="D543" s="11"/>
      <c r="E543" s="11"/>
      <c r="F543" s="11"/>
      <c r="G543" s="13"/>
      <c r="H543" s="11"/>
      <c r="I543" s="11"/>
      <c r="J543" s="13"/>
      <c r="K543" s="13"/>
      <c r="L543" s="13"/>
      <c r="M543" s="13"/>
      <c r="O543" s="7"/>
      <c r="P543" s="11"/>
      <c r="Q543" s="11"/>
    </row>
    <row r="544" spans="1:17" x14ac:dyDescent="0.3">
      <c r="A544" s="7" t="str">
        <f t="shared" si="196"/>
        <v>DMT</v>
      </c>
      <c r="B544" s="13">
        <f>+B542*(1-B543)</f>
        <v>11.975999999999999</v>
      </c>
      <c r="D544" s="11"/>
      <c r="E544" s="11"/>
      <c r="F544" s="11"/>
      <c r="G544" s="13"/>
      <c r="H544" s="11"/>
      <c r="I544" s="11"/>
      <c r="J544" s="13"/>
      <c r="K544" s="13"/>
      <c r="L544" s="13"/>
      <c r="M544" s="13"/>
      <c r="O544" s="7" t="s">
        <v>35</v>
      </c>
      <c r="P544" s="13">
        <v>0</v>
      </c>
      <c r="Q544" s="13">
        <v>0</v>
      </c>
    </row>
    <row r="545" spans="1:17" x14ac:dyDescent="0.3">
      <c r="A545" s="7" t="str">
        <f t="shared" si="196"/>
        <v>Resultado USD / Kg</v>
      </c>
      <c r="B545" s="13">
        <f>+U547/B542</f>
        <v>0</v>
      </c>
      <c r="D545" s="11"/>
      <c r="E545" s="11"/>
      <c r="F545" s="11"/>
      <c r="G545" s="13"/>
      <c r="H545" s="11"/>
      <c r="I545" s="11"/>
      <c r="J545" s="13"/>
      <c r="K545" s="13"/>
      <c r="L545" s="13"/>
      <c r="M545" s="13"/>
      <c r="O545" s="7" t="s">
        <v>37</v>
      </c>
      <c r="P545" s="13">
        <v>0</v>
      </c>
      <c r="Q545" s="13">
        <v>0</v>
      </c>
    </row>
    <row r="546" spans="1:17" x14ac:dyDescent="0.3">
      <c r="A546" s="16" t="s">
        <v>53</v>
      </c>
      <c r="B546" s="13"/>
      <c r="C546" s="20"/>
      <c r="D546" s="11"/>
      <c r="E546" s="11"/>
      <c r="F546" s="11"/>
      <c r="G546" s="13"/>
      <c r="H546" s="11"/>
      <c r="I546" s="11"/>
      <c r="J546" s="13"/>
      <c r="K546" s="13"/>
      <c r="L546" s="13"/>
      <c r="M546" s="13"/>
      <c r="O546" s="7"/>
      <c r="P546" s="11"/>
      <c r="Q546" s="11"/>
    </row>
    <row r="547" spans="1:17" x14ac:dyDescent="0.3">
      <c r="D547" s="11"/>
      <c r="E547" s="11"/>
      <c r="F547" s="11"/>
      <c r="G547" s="13"/>
      <c r="H547" s="11"/>
      <c r="I547" s="11"/>
      <c r="J547" s="13"/>
      <c r="K547" s="13"/>
      <c r="L547" s="13"/>
      <c r="M547" s="13"/>
      <c r="O547" s="7"/>
      <c r="P547" s="11"/>
      <c r="Q547" s="11"/>
    </row>
    <row r="549" spans="1:17" x14ac:dyDescent="0.3">
      <c r="A549" s="6" t="s">
        <v>5</v>
      </c>
      <c r="B549" s="6"/>
      <c r="D549" s="6" t="s">
        <v>6</v>
      </c>
      <c r="E549" s="6"/>
      <c r="F549" s="6"/>
      <c r="G549" s="6"/>
      <c r="H549" s="6"/>
      <c r="I549" s="6"/>
      <c r="J549" s="6"/>
      <c r="K549" s="6"/>
      <c r="L549" s="6"/>
      <c r="M549" s="6"/>
      <c r="O549" s="6" t="s">
        <v>7</v>
      </c>
      <c r="P549" s="6"/>
      <c r="Q549" s="6"/>
    </row>
    <row r="550" spans="1:17" x14ac:dyDescent="0.3">
      <c r="A550" s="7" t="str">
        <f>+A537</f>
        <v>Arrival date</v>
      </c>
      <c r="B550" s="8">
        <f>+B524</f>
        <v>45980</v>
      </c>
      <c r="D550" s="6" t="s">
        <v>9</v>
      </c>
      <c r="E550" s="6"/>
      <c r="F550" s="6"/>
      <c r="G550" s="9" t="s">
        <v>10</v>
      </c>
      <c r="H550" s="9" t="s">
        <v>11</v>
      </c>
      <c r="I550" s="9" t="s">
        <v>12</v>
      </c>
      <c r="J550" s="9" t="s">
        <v>13</v>
      </c>
      <c r="K550" s="9" t="s">
        <v>14</v>
      </c>
      <c r="L550" s="9" t="s">
        <v>15</v>
      </c>
      <c r="M550" s="9" t="s">
        <v>16</v>
      </c>
      <c r="N550" s="10"/>
      <c r="O550" s="9" t="s">
        <v>17</v>
      </c>
      <c r="P550" s="9" t="s">
        <v>18</v>
      </c>
      <c r="Q550" s="9" t="s">
        <v>16</v>
      </c>
    </row>
    <row r="551" spans="1:17" x14ac:dyDescent="0.3">
      <c r="A551" s="7" t="str">
        <f t="shared" ref="A551:A558" si="201">+A538</f>
        <v>Receptive date</v>
      </c>
      <c r="B551" s="8">
        <f>+B550</f>
        <v>45980</v>
      </c>
      <c r="D551" s="11" t="s">
        <v>20</v>
      </c>
      <c r="E551" s="11" t="s">
        <v>21</v>
      </c>
      <c r="F551" s="12">
        <v>0.37340000000000001</v>
      </c>
      <c r="G551" s="13">
        <f>+F551*B557</f>
        <v>364.46827200000001</v>
      </c>
      <c r="H551" s="12">
        <f>+IF(F551&gt;=20,(F551-3%)/F551,IF(F551&gt;=23,(F551-5.16%)/F551,(F551-3%)/F551))</f>
        <v>0.91965720407070173</v>
      </c>
      <c r="I551" s="13">
        <f>+G551*H551</f>
        <v>335.18587200000002</v>
      </c>
      <c r="J551" s="13">
        <f>+$G$1</f>
        <v>11803.79</v>
      </c>
      <c r="K551" s="13">
        <f>+K538</f>
        <v>300</v>
      </c>
      <c r="L551" s="13">
        <f>+J551-K551</f>
        <v>11503.79</v>
      </c>
      <c r="M551" s="13">
        <f>+I551*L551/1000</f>
        <v>3855.9078824548806</v>
      </c>
      <c r="O551" s="7" t="s">
        <v>22</v>
      </c>
      <c r="P551" s="14" t="s">
        <v>23</v>
      </c>
      <c r="Q551" s="17">
        <f>600*B557/1000</f>
        <v>585.64800000000002</v>
      </c>
    </row>
    <row r="552" spans="1:17" x14ac:dyDescent="0.3">
      <c r="A552" s="7" t="str">
        <f t="shared" si="201"/>
        <v>Customer lot No.</v>
      </c>
      <c r="B552" s="14" t="s">
        <v>65</v>
      </c>
      <c r="D552" s="11" t="s">
        <v>25</v>
      </c>
      <c r="E552" s="11" t="s">
        <v>26</v>
      </c>
      <c r="F552" s="13">
        <v>664.6</v>
      </c>
      <c r="G552" s="13">
        <f>+B557/1000*F552</f>
        <v>648.70276800000011</v>
      </c>
      <c r="H552" s="12">
        <f>+MIN(0.96,(F552-7)/F552)</f>
        <v>0.96</v>
      </c>
      <c r="I552" s="13">
        <f t="shared" ref="I552:I555" si="202">+G552*H552</f>
        <v>622.75465728000006</v>
      </c>
      <c r="J552" s="13">
        <f>+$I$1</f>
        <v>4500</v>
      </c>
      <c r="K552" s="13">
        <f t="shared" ref="K552:K555" si="203">+K539</f>
        <v>5</v>
      </c>
      <c r="L552" s="13">
        <f t="shared" ref="L552:L555" si="204">+J552-K552</f>
        <v>4495</v>
      </c>
      <c r="M552" s="13">
        <f>+I552*L552/31.1034768</f>
        <v>89999.012087086041</v>
      </c>
      <c r="O552" s="7" t="s">
        <v>27</v>
      </c>
      <c r="P552" s="11">
        <v>100</v>
      </c>
      <c r="Q552" s="11">
        <f>+B555*P552/1000</f>
        <v>98</v>
      </c>
    </row>
    <row r="553" spans="1:17" x14ac:dyDescent="0.3">
      <c r="A553" s="7" t="str">
        <f t="shared" si="201"/>
        <v>Lot No. (JX)</v>
      </c>
      <c r="B553" s="11">
        <v>1832</v>
      </c>
      <c r="D553" s="11" t="s">
        <v>29</v>
      </c>
      <c r="E553" s="11" t="s">
        <v>26</v>
      </c>
      <c r="F553" s="13">
        <v>2344</v>
      </c>
      <c r="G553" s="13">
        <f>+B557/1000*F553</f>
        <v>2287.9315200000001</v>
      </c>
      <c r="H553" s="12">
        <f>+MIN(0.95,MAX(0,(F553-100)/F553))</f>
        <v>0.95</v>
      </c>
      <c r="I553" s="13">
        <f t="shared" si="202"/>
        <v>2173.534944</v>
      </c>
      <c r="J553" s="13">
        <f>+$K$1</f>
        <v>64.34</v>
      </c>
      <c r="K553" s="13">
        <f t="shared" si="203"/>
        <v>0.5</v>
      </c>
      <c r="L553" s="13">
        <f t="shared" si="204"/>
        <v>63.84</v>
      </c>
      <c r="M553" s="13">
        <f t="shared" ref="M553:M555" si="205">+I553*L553/31.1034768</f>
        <v>4461.1884297436491</v>
      </c>
      <c r="O553" s="7"/>
      <c r="P553" s="11"/>
      <c r="Q553" s="11"/>
    </row>
    <row r="554" spans="1:17" x14ac:dyDescent="0.3">
      <c r="A554" s="7"/>
      <c r="B554" s="11"/>
      <c r="D554" s="11" t="s">
        <v>30</v>
      </c>
      <c r="E554" s="11" t="s">
        <v>26</v>
      </c>
      <c r="F554" s="13"/>
      <c r="G554" s="13"/>
      <c r="H554" s="11"/>
      <c r="I554" s="13">
        <f t="shared" si="202"/>
        <v>0</v>
      </c>
      <c r="J554" s="13">
        <v>0</v>
      </c>
      <c r="K554" s="13">
        <f t="shared" si="203"/>
        <v>0</v>
      </c>
      <c r="L554" s="13">
        <f t="shared" si="204"/>
        <v>0</v>
      </c>
      <c r="M554" s="13">
        <f t="shared" si="205"/>
        <v>0</v>
      </c>
      <c r="O554" s="7"/>
      <c r="P554" s="11"/>
      <c r="Q554" s="11"/>
    </row>
    <row r="555" spans="1:17" x14ac:dyDescent="0.3">
      <c r="A555" s="7" t="str">
        <f t="shared" si="201"/>
        <v>WMT</v>
      </c>
      <c r="B555" s="13">
        <v>980</v>
      </c>
      <c r="D555" s="11" t="s">
        <v>32</v>
      </c>
      <c r="E555" s="11" t="s">
        <v>26</v>
      </c>
      <c r="F555" s="13">
        <v>52.7</v>
      </c>
      <c r="G555" s="13">
        <f>+B557/1000*F555</f>
        <v>51.439416000000008</v>
      </c>
      <c r="H555" s="12">
        <f>+MAX(0,(F555-18)/F555)</f>
        <v>0.65844402277039848</v>
      </c>
      <c r="I555" s="13">
        <f t="shared" si="202"/>
        <v>33.869976000000008</v>
      </c>
      <c r="J555" s="13">
        <f>+$M$1</f>
        <v>1569</v>
      </c>
      <c r="K555" s="13">
        <f t="shared" si="203"/>
        <v>14</v>
      </c>
      <c r="L555" s="13">
        <f t="shared" si="204"/>
        <v>1555</v>
      </c>
      <c r="M555" s="13">
        <f t="shared" si="205"/>
        <v>1693.3094977986516</v>
      </c>
      <c r="O555" s="7"/>
      <c r="P555" s="11"/>
      <c r="Q555" s="11"/>
    </row>
    <row r="556" spans="1:17" x14ac:dyDescent="0.3">
      <c r="A556" s="7" t="str">
        <f t="shared" si="201"/>
        <v>Moisture</v>
      </c>
      <c r="B556" s="15">
        <v>4.0000000000000001E-3</v>
      </c>
      <c r="D556" s="11"/>
      <c r="E556" s="11"/>
      <c r="F556" s="11"/>
      <c r="G556" s="13"/>
      <c r="H556" s="11"/>
      <c r="I556" s="11"/>
      <c r="J556" s="13"/>
      <c r="K556" s="13"/>
      <c r="L556" s="13"/>
      <c r="M556" s="13"/>
      <c r="O556" s="7"/>
      <c r="P556" s="11"/>
      <c r="Q556" s="11"/>
    </row>
    <row r="557" spans="1:17" x14ac:dyDescent="0.3">
      <c r="A557" s="7" t="str">
        <f t="shared" si="201"/>
        <v>DMT</v>
      </c>
      <c r="B557" s="13">
        <f>+B555*(1-B556)</f>
        <v>976.08</v>
      </c>
      <c r="D557" s="11"/>
      <c r="E557" s="11"/>
      <c r="F557" s="11"/>
      <c r="G557" s="13"/>
      <c r="H557" s="11"/>
      <c r="I557" s="11"/>
      <c r="J557" s="13"/>
      <c r="K557" s="13"/>
      <c r="L557" s="13"/>
      <c r="M557" s="13"/>
      <c r="O557" s="7" t="s">
        <v>35</v>
      </c>
      <c r="P557" s="13">
        <v>0</v>
      </c>
      <c r="Q557" s="13">
        <v>0</v>
      </c>
    </row>
    <row r="558" spans="1:17" x14ac:dyDescent="0.3">
      <c r="A558" s="7" t="str">
        <f t="shared" si="201"/>
        <v>Resultado USD / Kg</v>
      </c>
      <c r="B558" s="13">
        <f>+U560/B555</f>
        <v>0</v>
      </c>
      <c r="D558" s="11"/>
      <c r="E558" s="11"/>
      <c r="F558" s="11"/>
      <c r="G558" s="13"/>
      <c r="H558" s="11"/>
      <c r="I558" s="11"/>
      <c r="J558" s="13"/>
      <c r="K558" s="13"/>
      <c r="L558" s="13"/>
      <c r="M558" s="13"/>
      <c r="O558" s="7" t="s">
        <v>37</v>
      </c>
      <c r="P558" s="13">
        <v>0</v>
      </c>
      <c r="Q558" s="13">
        <v>0</v>
      </c>
    </row>
    <row r="559" spans="1:17" x14ac:dyDescent="0.3">
      <c r="A559" s="18" t="s">
        <v>79</v>
      </c>
      <c r="B559" s="13"/>
      <c r="C559" s="20"/>
      <c r="D559" s="11"/>
      <c r="E559" s="11"/>
      <c r="F559" s="11"/>
      <c r="G559" s="13"/>
      <c r="H559" s="11"/>
      <c r="I559" s="11"/>
      <c r="J559" s="13"/>
      <c r="K559" s="13"/>
      <c r="L559" s="13"/>
      <c r="M559" s="13"/>
      <c r="O559" s="7"/>
      <c r="P559" s="11"/>
      <c r="Q559" s="11"/>
    </row>
    <row r="560" spans="1:17" x14ac:dyDescent="0.3">
      <c r="D560" s="11"/>
      <c r="E560" s="11"/>
      <c r="F560" s="11"/>
      <c r="G560" s="13"/>
      <c r="H560" s="11"/>
      <c r="I560" s="11"/>
      <c r="J560" s="13"/>
      <c r="K560" s="13"/>
      <c r="L560" s="13"/>
      <c r="M560" s="13"/>
      <c r="O560" s="7"/>
      <c r="P560" s="11"/>
      <c r="Q560" s="11"/>
    </row>
    <row r="562" spans="1:17" x14ac:dyDescent="0.3">
      <c r="A562" s="6" t="s">
        <v>5</v>
      </c>
      <c r="B562" s="6"/>
      <c r="D562" s="6" t="s">
        <v>6</v>
      </c>
      <c r="E562" s="6"/>
      <c r="F562" s="6"/>
      <c r="G562" s="6"/>
      <c r="H562" s="6"/>
      <c r="I562" s="6"/>
      <c r="J562" s="6"/>
      <c r="K562" s="6"/>
      <c r="L562" s="6"/>
      <c r="M562" s="6"/>
      <c r="O562" s="6" t="s">
        <v>7</v>
      </c>
      <c r="P562" s="6"/>
      <c r="Q562" s="6"/>
    </row>
    <row r="563" spans="1:17" x14ac:dyDescent="0.3">
      <c r="A563" s="7" t="str">
        <f>+A550</f>
        <v>Arrival date</v>
      </c>
      <c r="B563" s="8">
        <f>+B550</f>
        <v>45980</v>
      </c>
      <c r="D563" s="6" t="s">
        <v>9</v>
      </c>
      <c r="E563" s="6"/>
      <c r="F563" s="6"/>
      <c r="G563" s="9" t="s">
        <v>10</v>
      </c>
      <c r="H563" s="9" t="s">
        <v>11</v>
      </c>
      <c r="I563" s="9" t="s">
        <v>12</v>
      </c>
      <c r="J563" s="9" t="s">
        <v>13</v>
      </c>
      <c r="K563" s="9" t="s">
        <v>14</v>
      </c>
      <c r="L563" s="9" t="s">
        <v>15</v>
      </c>
      <c r="M563" s="9" t="s">
        <v>16</v>
      </c>
      <c r="N563" s="10"/>
      <c r="O563" s="9" t="s">
        <v>17</v>
      </c>
      <c r="P563" s="9" t="s">
        <v>18</v>
      </c>
      <c r="Q563" s="9" t="s">
        <v>16</v>
      </c>
    </row>
    <row r="564" spans="1:17" x14ac:dyDescent="0.3">
      <c r="A564" s="7" t="str">
        <f t="shared" ref="A564:A571" si="206">+A551</f>
        <v>Receptive date</v>
      </c>
      <c r="B564" s="8">
        <f>+B563</f>
        <v>45980</v>
      </c>
      <c r="D564" s="11" t="s">
        <v>20</v>
      </c>
      <c r="E564" s="11" t="s">
        <v>21</v>
      </c>
      <c r="F564" s="12">
        <v>0.3427</v>
      </c>
      <c r="G564" s="13">
        <f>+F564*B570</f>
        <v>393.21123840000001</v>
      </c>
      <c r="H564" s="12">
        <f>+IF(F564&gt;=20,(F564-3%)/F564,IF(F564&gt;=23,(F564-5.16%)/F564,(F564-3%)/F564))</f>
        <v>0.91245987744382839</v>
      </c>
      <c r="I564" s="13">
        <f>+G564*H564</f>
        <v>358.78947840000001</v>
      </c>
      <c r="J564" s="13">
        <f>+$G$1</f>
        <v>11803.79</v>
      </c>
      <c r="K564" s="13">
        <f>+K551</f>
        <v>300</v>
      </c>
      <c r="L564" s="13">
        <f>+J564-K564</f>
        <v>11503.79</v>
      </c>
      <c r="M564" s="13">
        <f>+I564*L564/1000</f>
        <v>4127.4388137231363</v>
      </c>
      <c r="O564" s="7" t="s">
        <v>22</v>
      </c>
      <c r="P564" s="14" t="s">
        <v>23</v>
      </c>
      <c r="Q564" s="17">
        <f>600*B570/1000</f>
        <v>688.43520000000012</v>
      </c>
    </row>
    <row r="565" spans="1:17" x14ac:dyDescent="0.3">
      <c r="A565" s="7" t="str">
        <f t="shared" si="206"/>
        <v>Customer lot No.</v>
      </c>
      <c r="B565" s="14" t="s">
        <v>66</v>
      </c>
      <c r="D565" s="11" t="s">
        <v>25</v>
      </c>
      <c r="E565" s="11" t="s">
        <v>26</v>
      </c>
      <c r="F565" s="13">
        <v>455.8</v>
      </c>
      <c r="G565" s="13">
        <f>+B570/1000*F565</f>
        <v>522.98127360000001</v>
      </c>
      <c r="H565" s="12">
        <f>+MIN(0.96,(F565-7)/F565)</f>
        <v>0.96</v>
      </c>
      <c r="I565" s="13">
        <f t="shared" ref="I565:I568" si="207">+G565*H565</f>
        <v>502.06202265600001</v>
      </c>
      <c r="J565" s="13">
        <f>+$I$1</f>
        <v>4500</v>
      </c>
      <c r="K565" s="13">
        <f t="shared" ref="K565:K568" si="208">+K552</f>
        <v>5</v>
      </c>
      <c r="L565" s="13">
        <f t="shared" ref="L565:L568" si="209">+J565-K565</f>
        <v>4495</v>
      </c>
      <c r="M565" s="13">
        <f>+I565*L565/31.1034768</f>
        <v>72556.801490395446</v>
      </c>
      <c r="O565" s="7" t="s">
        <v>27</v>
      </c>
      <c r="P565" s="11">
        <v>100</v>
      </c>
      <c r="Q565" s="11">
        <f>+B568*P565/1000</f>
        <v>115.2</v>
      </c>
    </row>
    <row r="566" spans="1:17" x14ac:dyDescent="0.3">
      <c r="A566" s="7" t="str">
        <f t="shared" si="206"/>
        <v>Lot No. (JX)</v>
      </c>
      <c r="B566" s="11">
        <v>1833</v>
      </c>
      <c r="D566" s="11" t="s">
        <v>29</v>
      </c>
      <c r="E566" s="11" t="s">
        <v>26</v>
      </c>
      <c r="F566" s="13">
        <v>1744</v>
      </c>
      <c r="G566" s="13">
        <f>+B570/1000*F566</f>
        <v>2001.0516479999999</v>
      </c>
      <c r="H566" s="12">
        <f>+MAX(0,(F566-100)/F566)</f>
        <v>0.94266055045871555</v>
      </c>
      <c r="I566" s="13">
        <f t="shared" si="207"/>
        <v>1886.3124479999999</v>
      </c>
      <c r="J566" s="13">
        <f>+$K$1</f>
        <v>64.34</v>
      </c>
      <c r="K566" s="13">
        <f t="shared" si="208"/>
        <v>0.5</v>
      </c>
      <c r="L566" s="13">
        <f t="shared" si="209"/>
        <v>63.84</v>
      </c>
      <c r="M566" s="13">
        <f t="shared" ref="M566:M568" si="210">+I566*L566/31.1034768</f>
        <v>3871.6632051989764</v>
      </c>
      <c r="O566" s="7"/>
      <c r="P566" s="11"/>
      <c r="Q566" s="11"/>
    </row>
    <row r="567" spans="1:17" x14ac:dyDescent="0.3">
      <c r="A567" s="7"/>
      <c r="B567" s="11"/>
      <c r="D567" s="11" t="s">
        <v>30</v>
      </c>
      <c r="E567" s="11" t="s">
        <v>26</v>
      </c>
      <c r="F567" s="13"/>
      <c r="G567" s="13"/>
      <c r="H567" s="11"/>
      <c r="I567" s="13">
        <f t="shared" si="207"/>
        <v>0</v>
      </c>
      <c r="J567" s="13">
        <v>0</v>
      </c>
      <c r="K567" s="13">
        <f t="shared" si="208"/>
        <v>0</v>
      </c>
      <c r="L567" s="13">
        <f t="shared" si="209"/>
        <v>0</v>
      </c>
      <c r="M567" s="13">
        <f t="shared" si="210"/>
        <v>0</v>
      </c>
      <c r="O567" s="7"/>
      <c r="P567" s="11"/>
      <c r="Q567" s="11"/>
    </row>
    <row r="568" spans="1:17" x14ac:dyDescent="0.3">
      <c r="A568" s="7" t="str">
        <f t="shared" si="206"/>
        <v>WMT</v>
      </c>
      <c r="B568" s="13">
        <v>1152</v>
      </c>
      <c r="D568" s="11" t="s">
        <v>32</v>
      </c>
      <c r="E568" s="11" t="s">
        <v>26</v>
      </c>
      <c r="F568" s="13">
        <v>33.799999999999997</v>
      </c>
      <c r="G568" s="13">
        <f>+B570/1000*F568</f>
        <v>38.781849599999994</v>
      </c>
      <c r="H568" s="12">
        <f>+MAX(0,(F568-18)/F568)</f>
        <v>0.46745562130177509</v>
      </c>
      <c r="I568" s="13">
        <f t="shared" si="207"/>
        <v>18.128793599999995</v>
      </c>
      <c r="J568" s="13">
        <f>+$M$1</f>
        <v>1569</v>
      </c>
      <c r="K568" s="13">
        <f t="shared" si="208"/>
        <v>14</v>
      </c>
      <c r="L568" s="13">
        <f t="shared" si="209"/>
        <v>1555</v>
      </c>
      <c r="M568" s="13">
        <f t="shared" si="210"/>
        <v>906.33835661741819</v>
      </c>
      <c r="O568" s="7"/>
      <c r="P568" s="11"/>
      <c r="Q568" s="11"/>
    </row>
    <row r="569" spans="1:17" x14ac:dyDescent="0.3">
      <c r="A569" s="7" t="str">
        <f t="shared" si="206"/>
        <v>Moisture</v>
      </c>
      <c r="B569" s="15">
        <v>4.0000000000000001E-3</v>
      </c>
      <c r="D569" s="11"/>
      <c r="E569" s="11"/>
      <c r="F569" s="11"/>
      <c r="G569" s="13"/>
      <c r="H569" s="11"/>
      <c r="I569" s="11"/>
      <c r="J569" s="13"/>
      <c r="K569" s="13"/>
      <c r="L569" s="13"/>
      <c r="M569" s="13"/>
      <c r="O569" s="7"/>
      <c r="P569" s="11"/>
      <c r="Q569" s="11"/>
    </row>
    <row r="570" spans="1:17" x14ac:dyDescent="0.3">
      <c r="A570" s="7" t="str">
        <f t="shared" si="206"/>
        <v>DMT</v>
      </c>
      <c r="B570" s="13">
        <f>+B568*(1-B569)</f>
        <v>1147.3920000000001</v>
      </c>
      <c r="D570" s="11"/>
      <c r="E570" s="11"/>
      <c r="F570" s="11"/>
      <c r="G570" s="13"/>
      <c r="H570" s="11"/>
      <c r="I570" s="11"/>
      <c r="J570" s="13"/>
      <c r="K570" s="13"/>
      <c r="L570" s="13"/>
      <c r="M570" s="13"/>
      <c r="O570" s="7" t="s">
        <v>35</v>
      </c>
      <c r="P570" s="13">
        <v>0</v>
      </c>
      <c r="Q570" s="13">
        <v>0</v>
      </c>
    </row>
    <row r="571" spans="1:17" x14ac:dyDescent="0.3">
      <c r="A571" s="7" t="str">
        <f t="shared" si="206"/>
        <v>Resultado USD / Kg</v>
      </c>
      <c r="B571" s="13">
        <f>+U573/B568</f>
        <v>0</v>
      </c>
      <c r="D571" s="11"/>
      <c r="E571" s="11"/>
      <c r="F571" s="11"/>
      <c r="G571" s="13"/>
      <c r="H571" s="11"/>
      <c r="I571" s="11"/>
      <c r="J571" s="13"/>
      <c r="K571" s="13"/>
      <c r="L571" s="13"/>
      <c r="M571" s="13"/>
      <c r="O571" s="7" t="s">
        <v>37</v>
      </c>
      <c r="P571" s="13">
        <v>0</v>
      </c>
      <c r="Q571" s="13">
        <v>0</v>
      </c>
    </row>
    <row r="572" spans="1:17" x14ac:dyDescent="0.3">
      <c r="A572" s="18" t="s">
        <v>42</v>
      </c>
      <c r="B572" s="13"/>
      <c r="C572" s="20"/>
      <c r="D572" s="11"/>
      <c r="E572" s="11"/>
      <c r="F572" s="11"/>
      <c r="G572" s="13"/>
      <c r="H572" s="11"/>
      <c r="I572" s="11"/>
      <c r="J572" s="13"/>
      <c r="K572" s="13"/>
      <c r="L572" s="13"/>
      <c r="M572" s="13"/>
      <c r="O572" s="7"/>
      <c r="P572" s="11"/>
      <c r="Q572" s="11"/>
    </row>
    <row r="573" spans="1:17" x14ac:dyDescent="0.3">
      <c r="D573" s="11"/>
      <c r="E573" s="11"/>
      <c r="F573" s="11"/>
      <c r="G573" s="13"/>
      <c r="H573" s="11"/>
      <c r="I573" s="11"/>
      <c r="J573" s="13"/>
      <c r="K573" s="13"/>
      <c r="L573" s="13"/>
      <c r="M573" s="13"/>
      <c r="O573" s="7"/>
      <c r="P573" s="11"/>
      <c r="Q573" s="11"/>
    </row>
    <row r="575" spans="1:17" x14ac:dyDescent="0.3">
      <c r="A575" s="6" t="s">
        <v>5</v>
      </c>
      <c r="B575" s="6"/>
      <c r="D575" s="6" t="s">
        <v>6</v>
      </c>
      <c r="E575" s="6"/>
      <c r="F575" s="6"/>
      <c r="G575" s="6"/>
      <c r="H575" s="6"/>
      <c r="I575" s="6"/>
      <c r="J575" s="6"/>
      <c r="K575" s="6"/>
      <c r="L575" s="6"/>
      <c r="M575" s="6"/>
      <c r="O575" s="6" t="s">
        <v>7</v>
      </c>
      <c r="P575" s="6"/>
      <c r="Q575" s="6"/>
    </row>
    <row r="576" spans="1:17" x14ac:dyDescent="0.3">
      <c r="A576" s="7" t="str">
        <f>+A563</f>
        <v>Arrival date</v>
      </c>
      <c r="B576" s="8">
        <f>+B563</f>
        <v>45980</v>
      </c>
      <c r="D576" s="6" t="s">
        <v>9</v>
      </c>
      <c r="E576" s="6"/>
      <c r="F576" s="6"/>
      <c r="G576" s="9" t="s">
        <v>10</v>
      </c>
      <c r="H576" s="9" t="s">
        <v>11</v>
      </c>
      <c r="I576" s="9" t="s">
        <v>12</v>
      </c>
      <c r="J576" s="9" t="s">
        <v>13</v>
      </c>
      <c r="K576" s="9" t="s">
        <v>14</v>
      </c>
      <c r="L576" s="9" t="s">
        <v>15</v>
      </c>
      <c r="M576" s="9" t="s">
        <v>16</v>
      </c>
      <c r="N576" s="10"/>
      <c r="O576" s="9" t="s">
        <v>17</v>
      </c>
      <c r="P576" s="9" t="s">
        <v>18</v>
      </c>
      <c r="Q576" s="9" t="s">
        <v>16</v>
      </c>
    </row>
    <row r="577" spans="1:17" x14ac:dyDescent="0.3">
      <c r="A577" s="7" t="str">
        <f t="shared" ref="A577:A584" si="211">+A564</f>
        <v>Receptive date</v>
      </c>
      <c r="B577" s="8">
        <f>+B576</f>
        <v>45980</v>
      </c>
      <c r="D577" s="11" t="s">
        <v>20</v>
      </c>
      <c r="E577" s="11" t="s">
        <v>21</v>
      </c>
      <c r="F577" s="12">
        <v>0.36919999999999997</v>
      </c>
      <c r="G577" s="13">
        <f>+F577*B583</f>
        <v>379.51544799999999</v>
      </c>
      <c r="H577" s="12">
        <f>+IF(F577&gt;=20,(F577-3%)/F577,IF(F577&gt;=23,(F577-5.16%)/F577,(F577-3%)/F577))</f>
        <v>0.91874322860238344</v>
      </c>
      <c r="I577" s="13">
        <f>+G577*H577</f>
        <v>348.67724799999996</v>
      </c>
      <c r="J577" s="13">
        <f>+$G$1</f>
        <v>11803.79</v>
      </c>
      <c r="K577" s="13">
        <f>+K564</f>
        <v>300</v>
      </c>
      <c r="L577" s="13">
        <f>+J577-K577</f>
        <v>11503.79</v>
      </c>
      <c r="M577" s="13">
        <f>+I577*L577/1000</f>
        <v>4011.1098387699199</v>
      </c>
      <c r="O577" s="7" t="s">
        <v>22</v>
      </c>
      <c r="P577" s="14" t="s">
        <v>23</v>
      </c>
      <c r="Q577" s="17">
        <f>600*B583/1000</f>
        <v>616.76400000000001</v>
      </c>
    </row>
    <row r="578" spans="1:17" x14ac:dyDescent="0.3">
      <c r="A578" s="7" t="str">
        <f t="shared" si="211"/>
        <v>Customer lot No.</v>
      </c>
      <c r="B578" s="14" t="s">
        <v>80</v>
      </c>
      <c r="D578" s="11" t="s">
        <v>25</v>
      </c>
      <c r="E578" s="11" t="s">
        <v>26</v>
      </c>
      <c r="F578" s="13">
        <v>658</v>
      </c>
      <c r="G578" s="13">
        <f>+B583/1000*F578</f>
        <v>676.38452000000007</v>
      </c>
      <c r="H578" s="12">
        <f>+MIN(0.96,(F578-7)/F578)</f>
        <v>0.96</v>
      </c>
      <c r="I578" s="13">
        <f t="shared" ref="I578:I581" si="212">+G578*H578</f>
        <v>649.32913919999999</v>
      </c>
      <c r="J578" s="13">
        <f>+$I$1</f>
        <v>4500</v>
      </c>
      <c r="K578" s="13">
        <f t="shared" ref="K578:K581" si="213">+K565</f>
        <v>5</v>
      </c>
      <c r="L578" s="13">
        <f t="shared" ref="L578:L581" si="214">+J578-K578</f>
        <v>4495</v>
      </c>
      <c r="M578" s="13">
        <f>+I578*L578/31.1034768</f>
        <v>93839.492590230293</v>
      </c>
      <c r="O578" s="7" t="s">
        <v>27</v>
      </c>
      <c r="P578" s="11">
        <v>100</v>
      </c>
      <c r="Q578" s="11">
        <f>+B581*P578/1000</f>
        <v>103</v>
      </c>
    </row>
    <row r="579" spans="1:17" x14ac:dyDescent="0.3">
      <c r="A579" s="7" t="str">
        <f t="shared" si="211"/>
        <v>Lot No. (JX)</v>
      </c>
      <c r="B579" s="11">
        <v>1834</v>
      </c>
      <c r="D579" s="11" t="s">
        <v>29</v>
      </c>
      <c r="E579" s="11" t="s">
        <v>26</v>
      </c>
      <c r="F579" s="13">
        <v>2339</v>
      </c>
      <c r="G579" s="13">
        <f>+B583/1000*F579</f>
        <v>2404.3516600000003</v>
      </c>
      <c r="H579" s="12">
        <f>+MIN(0.95,MAX(0,(F579-100)/F579))</f>
        <v>0.95</v>
      </c>
      <c r="I579" s="13">
        <f t="shared" si="212"/>
        <v>2284.1340770000002</v>
      </c>
      <c r="J579" s="13">
        <f>+$K$1</f>
        <v>64.34</v>
      </c>
      <c r="K579" s="13">
        <f t="shared" si="213"/>
        <v>0.5</v>
      </c>
      <c r="L579" s="13">
        <f t="shared" si="214"/>
        <v>63.84</v>
      </c>
      <c r="M579" s="13">
        <f t="shared" ref="M579:M581" si="215">+I579*L579/31.1034768</f>
        <v>4688.1935551230736</v>
      </c>
      <c r="O579" s="7"/>
      <c r="P579" s="11"/>
      <c r="Q579" s="11"/>
    </row>
    <row r="580" spans="1:17" x14ac:dyDescent="0.3">
      <c r="A580" s="7"/>
      <c r="B580" s="11"/>
      <c r="D580" s="11" t="s">
        <v>30</v>
      </c>
      <c r="E580" s="11" t="s">
        <v>26</v>
      </c>
      <c r="F580" s="13"/>
      <c r="G580" s="13"/>
      <c r="H580" s="11"/>
      <c r="I580" s="13">
        <f t="shared" si="212"/>
        <v>0</v>
      </c>
      <c r="J580" s="13">
        <v>0</v>
      </c>
      <c r="K580" s="13">
        <f t="shared" si="213"/>
        <v>0</v>
      </c>
      <c r="L580" s="13">
        <f t="shared" si="214"/>
        <v>0</v>
      </c>
      <c r="M580" s="13">
        <f t="shared" si="215"/>
        <v>0</v>
      </c>
      <c r="O580" s="7"/>
      <c r="P580" s="11"/>
      <c r="Q580" s="11"/>
    </row>
    <row r="581" spans="1:17" x14ac:dyDescent="0.3">
      <c r="A581" s="7" t="str">
        <f t="shared" si="211"/>
        <v>WMT</v>
      </c>
      <c r="B581" s="13">
        <v>1030</v>
      </c>
      <c r="D581" s="11" t="s">
        <v>32</v>
      </c>
      <c r="E581" s="11" t="s">
        <v>26</v>
      </c>
      <c r="F581" s="13">
        <v>50.3</v>
      </c>
      <c r="G581" s="13">
        <f>+B583/1000*F581</f>
        <v>51.705382</v>
      </c>
      <c r="H581" s="12">
        <f>+MAX(0,(F581-18)/F581)</f>
        <v>0.64214711729622265</v>
      </c>
      <c r="I581" s="13">
        <f t="shared" si="212"/>
        <v>33.202461999999997</v>
      </c>
      <c r="J581" s="13">
        <f>+$M$1</f>
        <v>1569</v>
      </c>
      <c r="K581" s="13">
        <f t="shared" si="213"/>
        <v>14</v>
      </c>
      <c r="L581" s="13">
        <f t="shared" si="214"/>
        <v>1555</v>
      </c>
      <c r="M581" s="13">
        <f t="shared" si="215"/>
        <v>1659.9375285916587</v>
      </c>
      <c r="O581" s="7"/>
      <c r="P581" s="11"/>
      <c r="Q581" s="11"/>
    </row>
    <row r="582" spans="1:17" x14ac:dyDescent="0.3">
      <c r="A582" s="7" t="str">
        <f t="shared" si="211"/>
        <v>Moisture</v>
      </c>
      <c r="B582" s="15">
        <v>2E-3</v>
      </c>
      <c r="D582" s="11"/>
      <c r="E582" s="11"/>
      <c r="F582" s="11"/>
      <c r="G582" s="13"/>
      <c r="H582" s="11"/>
      <c r="I582" s="11"/>
      <c r="J582" s="13"/>
      <c r="K582" s="13"/>
      <c r="L582" s="13"/>
      <c r="M582" s="13"/>
      <c r="O582" s="7"/>
      <c r="P582" s="11"/>
      <c r="Q582" s="11"/>
    </row>
    <row r="583" spans="1:17" x14ac:dyDescent="0.3">
      <c r="A583" s="7" t="str">
        <f t="shared" si="211"/>
        <v>DMT</v>
      </c>
      <c r="B583" s="13">
        <f>+B581*(1-B582)</f>
        <v>1027.94</v>
      </c>
      <c r="D583" s="11"/>
      <c r="E583" s="11"/>
      <c r="F583" s="11"/>
      <c r="G583" s="13"/>
      <c r="H583" s="11"/>
      <c r="I583" s="11"/>
      <c r="J583" s="13"/>
      <c r="K583" s="13"/>
      <c r="L583" s="13"/>
      <c r="M583" s="13"/>
      <c r="O583" s="7" t="s">
        <v>35</v>
      </c>
      <c r="P583" s="13">
        <v>0</v>
      </c>
      <c r="Q583" s="13">
        <v>0</v>
      </c>
    </row>
    <row r="584" spans="1:17" x14ac:dyDescent="0.3">
      <c r="A584" s="7" t="str">
        <f t="shared" si="211"/>
        <v>Resultado USD / Kg</v>
      </c>
      <c r="B584" s="13">
        <f>+U586/B581</f>
        <v>0</v>
      </c>
      <c r="D584" s="11"/>
      <c r="E584" s="11"/>
      <c r="F584" s="11"/>
      <c r="G584" s="13"/>
      <c r="H584" s="11"/>
      <c r="I584" s="11"/>
      <c r="J584" s="13"/>
      <c r="K584" s="13"/>
      <c r="L584" s="13"/>
      <c r="M584" s="13"/>
      <c r="O584" s="7" t="s">
        <v>37</v>
      </c>
      <c r="P584" s="13">
        <v>0</v>
      </c>
      <c r="Q584" s="13">
        <v>0</v>
      </c>
    </row>
    <row r="585" spans="1:17" x14ac:dyDescent="0.3">
      <c r="A585" s="18" t="s">
        <v>47</v>
      </c>
      <c r="B585" s="13"/>
      <c r="C585" s="20"/>
      <c r="D585" s="11"/>
      <c r="E585" s="11"/>
      <c r="F585" s="11"/>
      <c r="G585" s="13"/>
      <c r="H585" s="11"/>
      <c r="I585" s="11"/>
      <c r="J585" s="13"/>
      <c r="K585" s="13"/>
      <c r="L585" s="13"/>
      <c r="M585" s="13"/>
      <c r="O585" s="7"/>
      <c r="P585" s="11"/>
      <c r="Q585" s="11"/>
    </row>
    <row r="586" spans="1:17" x14ac:dyDescent="0.3">
      <c r="D586" s="11"/>
      <c r="E586" s="11"/>
      <c r="F586" s="11"/>
      <c r="G586" s="13"/>
      <c r="H586" s="11"/>
      <c r="I586" s="11"/>
      <c r="J586" s="13"/>
      <c r="K586" s="13"/>
      <c r="L586" s="13"/>
      <c r="M586" s="13"/>
      <c r="O586" s="7"/>
      <c r="P586" s="11"/>
      <c r="Q586" s="11"/>
    </row>
    <row r="588" spans="1:17" x14ac:dyDescent="0.3">
      <c r="A588" s="6" t="s">
        <v>5</v>
      </c>
      <c r="B588" s="6"/>
      <c r="D588" s="6" t="s">
        <v>6</v>
      </c>
      <c r="E588" s="6"/>
      <c r="F588" s="6"/>
      <c r="G588" s="6"/>
      <c r="H588" s="6"/>
      <c r="I588" s="6"/>
      <c r="J588" s="6"/>
      <c r="K588" s="6"/>
      <c r="L588" s="6"/>
      <c r="M588" s="6"/>
      <c r="O588" s="6" t="s">
        <v>7</v>
      </c>
      <c r="P588" s="6"/>
      <c r="Q588" s="6"/>
    </row>
    <row r="589" spans="1:17" x14ac:dyDescent="0.3">
      <c r="A589" s="7" t="str">
        <f>+A576</f>
        <v>Arrival date</v>
      </c>
      <c r="B589" s="8">
        <f>+B576</f>
        <v>45980</v>
      </c>
      <c r="D589" s="6" t="s">
        <v>9</v>
      </c>
      <c r="E589" s="6"/>
      <c r="F589" s="6"/>
      <c r="G589" s="9" t="s">
        <v>10</v>
      </c>
      <c r="H589" s="9" t="s">
        <v>11</v>
      </c>
      <c r="I589" s="9" t="s">
        <v>12</v>
      </c>
      <c r="J589" s="9" t="s">
        <v>13</v>
      </c>
      <c r="K589" s="9" t="s">
        <v>14</v>
      </c>
      <c r="L589" s="9" t="s">
        <v>15</v>
      </c>
      <c r="M589" s="9" t="s">
        <v>16</v>
      </c>
      <c r="N589" s="10"/>
      <c r="O589" s="9" t="s">
        <v>17</v>
      </c>
      <c r="P589" s="9" t="s">
        <v>18</v>
      </c>
      <c r="Q589" s="9" t="s">
        <v>16</v>
      </c>
    </row>
    <row r="590" spans="1:17" x14ac:dyDescent="0.3">
      <c r="A590" s="7" t="str">
        <f t="shared" ref="A590:A597" si="216">+A577</f>
        <v>Receptive date</v>
      </c>
      <c r="B590" s="8">
        <f>+B589</f>
        <v>45980</v>
      </c>
      <c r="D590" s="11" t="s">
        <v>20</v>
      </c>
      <c r="E590" s="11" t="s">
        <v>21</v>
      </c>
      <c r="F590" s="12">
        <v>0.33169999999999999</v>
      </c>
      <c r="G590" s="13">
        <f>+F590*B596</f>
        <v>556.90705160000005</v>
      </c>
      <c r="H590" s="12">
        <f>+IF(F590&gt;=20,(F590-3%)/F590,IF(F590&gt;=23,(F590-5.16%)/F590,(F590-3%)/F590))</f>
        <v>0.90955682845945118</v>
      </c>
      <c r="I590" s="13">
        <f>+G590*H590</f>
        <v>506.53861159999997</v>
      </c>
      <c r="J590" s="13">
        <f>+$G$1</f>
        <v>11803.79</v>
      </c>
      <c r="K590" s="13">
        <f>+K577</f>
        <v>300</v>
      </c>
      <c r="L590" s="13">
        <f>+J590-K590</f>
        <v>11503.79</v>
      </c>
      <c r="M590" s="13">
        <f>+I590*L590/1000</f>
        <v>5827.1138147379643</v>
      </c>
      <c r="O590" s="7" t="s">
        <v>22</v>
      </c>
      <c r="P590" s="14" t="s">
        <v>23</v>
      </c>
      <c r="Q590" s="17">
        <f>600*B596/1000</f>
        <v>1007.3688000000001</v>
      </c>
    </row>
    <row r="591" spans="1:17" x14ac:dyDescent="0.3">
      <c r="A591" s="7" t="str">
        <f t="shared" si="216"/>
        <v>Customer lot No.</v>
      </c>
      <c r="B591" s="14" t="s">
        <v>68</v>
      </c>
      <c r="D591" s="11" t="s">
        <v>25</v>
      </c>
      <c r="E591" s="11" t="s">
        <v>26</v>
      </c>
      <c r="F591" s="13">
        <v>420.4</v>
      </c>
      <c r="G591" s="13">
        <f>+B596/1000*F591</f>
        <v>705.82973920000006</v>
      </c>
      <c r="H591" s="12">
        <f>+MIN(0.96,(F591-7)/F591)</f>
        <v>0.96</v>
      </c>
      <c r="I591" s="13">
        <f t="shared" ref="I591:I594" si="217">+G591*H591</f>
        <v>677.59654963200001</v>
      </c>
      <c r="J591" s="13">
        <f>+$I$1</f>
        <v>4500</v>
      </c>
      <c r="K591" s="13">
        <f t="shared" ref="K591:K594" si="218">+K578</f>
        <v>5</v>
      </c>
      <c r="L591" s="13">
        <f t="shared" ref="L591:L594" si="219">+J591-K591</f>
        <v>4495</v>
      </c>
      <c r="M591" s="13">
        <f>+I591*L591/31.1034768</f>
        <v>97924.631068763352</v>
      </c>
      <c r="O591" s="7" t="s">
        <v>27</v>
      </c>
      <c r="P591" s="11">
        <v>100</v>
      </c>
      <c r="Q591" s="11">
        <f>+B594*P591/1000</f>
        <v>168.4</v>
      </c>
    </row>
    <row r="592" spans="1:17" x14ac:dyDescent="0.3">
      <c r="A592" s="7" t="str">
        <f t="shared" si="216"/>
        <v>Lot No. (JX)</v>
      </c>
      <c r="B592" s="11">
        <v>1835</v>
      </c>
      <c r="D592" s="11" t="s">
        <v>29</v>
      </c>
      <c r="E592" s="11" t="s">
        <v>26</v>
      </c>
      <c r="F592" s="13">
        <v>1745</v>
      </c>
      <c r="G592" s="13">
        <f>+B596/1000*F592</f>
        <v>2929.7642600000004</v>
      </c>
      <c r="H592" s="12">
        <f>+MIN(0.95,MAX(0,(F592-100)/F592))</f>
        <v>0.94269340974212035</v>
      </c>
      <c r="I592" s="13">
        <f t="shared" si="217"/>
        <v>2761.8694600000003</v>
      </c>
      <c r="J592" s="13">
        <f>+$K$1</f>
        <v>64.34</v>
      </c>
      <c r="K592" s="13">
        <f t="shared" si="218"/>
        <v>0.5</v>
      </c>
      <c r="L592" s="13">
        <f t="shared" si="219"/>
        <v>63.84</v>
      </c>
      <c r="M592" s="13">
        <f t="shared" ref="M592:M594" si="220">+I592*L592/31.1034768</f>
        <v>5668.7471776917246</v>
      </c>
      <c r="O592" s="7"/>
      <c r="P592" s="11"/>
      <c r="Q592" s="11"/>
    </row>
    <row r="593" spans="1:17" x14ac:dyDescent="0.3">
      <c r="A593" s="7"/>
      <c r="B593" s="11"/>
      <c r="D593" s="11" t="s">
        <v>30</v>
      </c>
      <c r="E593" s="11" t="s">
        <v>26</v>
      </c>
      <c r="F593" s="13"/>
      <c r="G593" s="13"/>
      <c r="H593" s="11"/>
      <c r="I593" s="13">
        <f t="shared" si="217"/>
        <v>0</v>
      </c>
      <c r="J593" s="13">
        <v>0</v>
      </c>
      <c r="K593" s="13">
        <f t="shared" si="218"/>
        <v>0</v>
      </c>
      <c r="L593" s="13">
        <f t="shared" si="219"/>
        <v>0</v>
      </c>
      <c r="M593" s="13">
        <f t="shared" si="220"/>
        <v>0</v>
      </c>
      <c r="O593" s="7"/>
      <c r="P593" s="11"/>
      <c r="Q593" s="11"/>
    </row>
    <row r="594" spans="1:17" x14ac:dyDescent="0.3">
      <c r="A594" s="7" t="str">
        <f t="shared" si="216"/>
        <v>WMT</v>
      </c>
      <c r="B594" s="13">
        <v>1684</v>
      </c>
      <c r="D594" s="11" t="s">
        <v>32</v>
      </c>
      <c r="E594" s="11" t="s">
        <v>26</v>
      </c>
      <c r="F594" s="13">
        <v>30.8</v>
      </c>
      <c r="G594" s="13">
        <f>+B596/1000*F594</f>
        <v>51.711598400000007</v>
      </c>
      <c r="H594" s="12">
        <f>+MAX(0,(F594-18)/F594)</f>
        <v>0.41558441558441561</v>
      </c>
      <c r="I594" s="13">
        <f t="shared" si="217"/>
        <v>21.490534400000005</v>
      </c>
      <c r="J594" s="13">
        <f>+$M$1</f>
        <v>1569</v>
      </c>
      <c r="K594" s="13">
        <f t="shared" si="218"/>
        <v>14</v>
      </c>
      <c r="L594" s="13">
        <f t="shared" si="219"/>
        <v>1555</v>
      </c>
      <c r="M594" s="13">
        <f t="shared" si="220"/>
        <v>1074.4066075597057</v>
      </c>
      <c r="O594" s="7"/>
      <c r="P594" s="11"/>
      <c r="Q594" s="11"/>
    </row>
    <row r="595" spans="1:17" x14ac:dyDescent="0.3">
      <c r="A595" s="7" t="str">
        <f t="shared" si="216"/>
        <v>Moisture</v>
      </c>
      <c r="B595" s="15">
        <v>3.0000000000000001E-3</v>
      </c>
      <c r="D595" s="11"/>
      <c r="E595" s="11"/>
      <c r="F595" s="11"/>
      <c r="G595" s="13"/>
      <c r="H595" s="11"/>
      <c r="I595" s="11"/>
      <c r="J595" s="13"/>
      <c r="K595" s="13"/>
      <c r="L595" s="13"/>
      <c r="M595" s="13"/>
      <c r="O595" s="7"/>
      <c r="P595" s="11"/>
      <c r="Q595" s="11"/>
    </row>
    <row r="596" spans="1:17" x14ac:dyDescent="0.3">
      <c r="A596" s="7" t="str">
        <f t="shared" si="216"/>
        <v>DMT</v>
      </c>
      <c r="B596" s="13">
        <f>+B594*(1-B595)</f>
        <v>1678.9480000000001</v>
      </c>
      <c r="D596" s="11"/>
      <c r="E596" s="11"/>
      <c r="F596" s="11"/>
      <c r="G596" s="13"/>
      <c r="H596" s="11"/>
      <c r="I596" s="11"/>
      <c r="J596" s="13"/>
      <c r="K596" s="13"/>
      <c r="L596" s="13"/>
      <c r="M596" s="13"/>
      <c r="O596" s="7" t="s">
        <v>35</v>
      </c>
      <c r="P596" s="13">
        <v>0</v>
      </c>
      <c r="Q596" s="17">
        <f>+P596</f>
        <v>0</v>
      </c>
    </row>
    <row r="597" spans="1:17" x14ac:dyDescent="0.3">
      <c r="A597" s="7" t="str">
        <f t="shared" si="216"/>
        <v>Resultado USD / Kg</v>
      </c>
      <c r="B597" s="13">
        <f>+U599/B594</f>
        <v>0</v>
      </c>
      <c r="D597" s="11"/>
      <c r="E597" s="11"/>
      <c r="F597" s="11"/>
      <c r="G597" s="13"/>
      <c r="H597" s="11"/>
      <c r="I597" s="11"/>
      <c r="J597" s="13"/>
      <c r="K597" s="13"/>
      <c r="L597" s="13"/>
      <c r="M597" s="13"/>
      <c r="O597" s="7" t="s">
        <v>37</v>
      </c>
      <c r="P597" s="13">
        <v>0</v>
      </c>
      <c r="Q597" s="13">
        <v>0</v>
      </c>
    </row>
    <row r="598" spans="1:17" x14ac:dyDescent="0.3">
      <c r="A598" s="18" t="s">
        <v>42</v>
      </c>
      <c r="B598" s="13"/>
      <c r="C598" s="20"/>
      <c r="D598" s="11"/>
      <c r="E598" s="11"/>
      <c r="F598" s="11"/>
      <c r="G598" s="13"/>
      <c r="H598" s="11"/>
      <c r="I598" s="11"/>
      <c r="J598" s="13"/>
      <c r="K598" s="13"/>
      <c r="L598" s="13"/>
      <c r="M598" s="13"/>
      <c r="O598" s="7"/>
      <c r="P598" s="11"/>
      <c r="Q598" s="11"/>
    </row>
    <row r="599" spans="1:17" x14ac:dyDescent="0.3">
      <c r="D599" s="11"/>
      <c r="E599" s="11"/>
      <c r="F599" s="11"/>
      <c r="G599" s="13"/>
      <c r="H599" s="11"/>
      <c r="I599" s="11"/>
      <c r="J599" s="13"/>
      <c r="K599" s="13"/>
      <c r="L599" s="13"/>
      <c r="M599" s="13"/>
      <c r="O599" s="7"/>
      <c r="P599" s="11"/>
      <c r="Q599" s="11"/>
    </row>
    <row r="601" spans="1:17" x14ac:dyDescent="0.3">
      <c r="A601" s="6" t="s">
        <v>5</v>
      </c>
      <c r="B601" s="6"/>
      <c r="D601" s="6" t="s">
        <v>6</v>
      </c>
      <c r="E601" s="6"/>
      <c r="F601" s="6"/>
      <c r="G601" s="6"/>
      <c r="H601" s="6"/>
      <c r="I601" s="6"/>
      <c r="J601" s="6"/>
      <c r="K601" s="6"/>
      <c r="L601" s="6"/>
      <c r="M601" s="6"/>
      <c r="O601" s="6" t="s">
        <v>7</v>
      </c>
      <c r="P601" s="6"/>
      <c r="Q601" s="6"/>
    </row>
    <row r="602" spans="1:17" x14ac:dyDescent="0.3">
      <c r="A602" s="7" t="str">
        <f>+A589</f>
        <v>Arrival date</v>
      </c>
      <c r="B602" s="8">
        <f>+B589</f>
        <v>45980</v>
      </c>
      <c r="D602" s="6" t="s">
        <v>9</v>
      </c>
      <c r="E602" s="6"/>
      <c r="F602" s="6"/>
      <c r="G602" s="9" t="s">
        <v>10</v>
      </c>
      <c r="H602" s="9" t="s">
        <v>11</v>
      </c>
      <c r="I602" s="9" t="s">
        <v>12</v>
      </c>
      <c r="J602" s="9" t="s">
        <v>13</v>
      </c>
      <c r="K602" s="9" t="s">
        <v>14</v>
      </c>
      <c r="L602" s="9" t="s">
        <v>15</v>
      </c>
      <c r="M602" s="9" t="s">
        <v>16</v>
      </c>
      <c r="N602" s="10"/>
      <c r="O602" s="9" t="s">
        <v>17</v>
      </c>
      <c r="P602" s="9" t="s">
        <v>18</v>
      </c>
      <c r="Q602" s="9" t="s">
        <v>16</v>
      </c>
    </row>
    <row r="603" spans="1:17" x14ac:dyDescent="0.3">
      <c r="A603" s="7" t="str">
        <f t="shared" ref="A603:A610" si="221">+A590</f>
        <v>Receptive date</v>
      </c>
      <c r="B603" s="8">
        <f>+B602</f>
        <v>45980</v>
      </c>
      <c r="D603" s="11" t="s">
        <v>20</v>
      </c>
      <c r="E603" s="11" t="s">
        <v>21</v>
      </c>
      <c r="F603" s="12">
        <v>0.36420000000000002</v>
      </c>
      <c r="G603" s="13">
        <f>+F603*B609</f>
        <v>370.01408880000002</v>
      </c>
      <c r="H603" s="12">
        <f>+IF(F603&gt;=20,(F603-3%)/F603,IF(F603&gt;=23,(F603-5.16%)/F603,(F603-3%)/F603))</f>
        <v>0.91762767710049431</v>
      </c>
      <c r="I603" s="13">
        <f>+G603*H603</f>
        <v>339.53516880000006</v>
      </c>
      <c r="J603" s="13">
        <f>+$G$1</f>
        <v>11803.79</v>
      </c>
      <c r="K603" s="13">
        <f>+K590</f>
        <v>300</v>
      </c>
      <c r="L603" s="13">
        <f>+J603-K603</f>
        <v>11503.79</v>
      </c>
      <c r="M603" s="13">
        <f>+I603*L603/1000</f>
        <v>3905.941279489753</v>
      </c>
      <c r="O603" s="7" t="s">
        <v>22</v>
      </c>
      <c r="P603" s="14" t="s">
        <v>23</v>
      </c>
      <c r="Q603" s="17">
        <f>600*B609/1000</f>
        <v>609.57839999999987</v>
      </c>
    </row>
    <row r="604" spans="1:17" x14ac:dyDescent="0.3">
      <c r="A604" s="7" t="str">
        <f t="shared" si="221"/>
        <v>Customer lot No.</v>
      </c>
      <c r="B604" s="14" t="s">
        <v>81</v>
      </c>
      <c r="D604" s="11" t="s">
        <v>25</v>
      </c>
      <c r="E604" s="11" t="s">
        <v>26</v>
      </c>
      <c r="F604" s="13">
        <v>828.5</v>
      </c>
      <c r="G604" s="13">
        <f>+B609/1000*F604</f>
        <v>841.7261739999999</v>
      </c>
      <c r="H604" s="12">
        <f>+MIN(0.96,(F604-7)/F604)</f>
        <v>0.96</v>
      </c>
      <c r="I604" s="13">
        <f t="shared" ref="I604:I607" si="222">+G604*H604</f>
        <v>808.05712703999984</v>
      </c>
      <c r="J604" s="13">
        <f>+$I$1</f>
        <v>4500</v>
      </c>
      <c r="K604" s="13">
        <f t="shared" ref="K604:K607" si="223">+K591</f>
        <v>5</v>
      </c>
      <c r="L604" s="13">
        <f t="shared" ref="L604:L607" si="224">+J604-K604</f>
        <v>4495</v>
      </c>
      <c r="M604" s="13">
        <f>+I604*L604/31.1034768</f>
        <v>116778.48137044278</v>
      </c>
      <c r="O604" s="7" t="s">
        <v>27</v>
      </c>
      <c r="P604" s="11">
        <v>100</v>
      </c>
      <c r="Q604" s="11">
        <f>+B607*P604/1000</f>
        <v>101.8</v>
      </c>
    </row>
    <row r="605" spans="1:17" x14ac:dyDescent="0.3">
      <c r="A605" s="7" t="str">
        <f t="shared" si="221"/>
        <v>Lot No. (JX)</v>
      </c>
      <c r="B605" s="11">
        <v>1836</v>
      </c>
      <c r="D605" s="11" t="s">
        <v>29</v>
      </c>
      <c r="E605" s="11" t="s">
        <v>26</v>
      </c>
      <c r="F605" s="13">
        <v>2568</v>
      </c>
      <c r="G605" s="13">
        <f>+B609/1000*F605</f>
        <v>2608.9955519999999</v>
      </c>
      <c r="H605" s="12">
        <f>+MIN(0.95,MAX(0,(F605-100)/F605))</f>
        <v>0.95</v>
      </c>
      <c r="I605" s="13">
        <f t="shared" si="222"/>
        <v>2478.5457743999996</v>
      </c>
      <c r="J605" s="13">
        <f>+$K$1</f>
        <v>64.34</v>
      </c>
      <c r="K605" s="13">
        <f t="shared" si="223"/>
        <v>0.5</v>
      </c>
      <c r="L605" s="13">
        <f t="shared" si="224"/>
        <v>63.84</v>
      </c>
      <c r="M605" s="13">
        <f t="shared" ref="M605:M607" si="225">+I605*L605/31.1034768</f>
        <v>5087.2242757663662</v>
      </c>
      <c r="O605" s="7"/>
      <c r="P605" s="11"/>
      <c r="Q605" s="11"/>
    </row>
    <row r="606" spans="1:17" x14ac:dyDescent="0.3">
      <c r="A606" s="7"/>
      <c r="B606" s="11"/>
      <c r="D606" s="11" t="s">
        <v>30</v>
      </c>
      <c r="E606" s="11" t="s">
        <v>26</v>
      </c>
      <c r="F606" s="13"/>
      <c r="G606" s="13"/>
      <c r="H606" s="11"/>
      <c r="I606" s="13">
        <f t="shared" si="222"/>
        <v>0</v>
      </c>
      <c r="J606" s="13">
        <v>0</v>
      </c>
      <c r="K606" s="13">
        <f t="shared" si="223"/>
        <v>0</v>
      </c>
      <c r="L606" s="13">
        <f t="shared" si="224"/>
        <v>0</v>
      </c>
      <c r="M606" s="13">
        <f t="shared" si="225"/>
        <v>0</v>
      </c>
      <c r="O606" s="7"/>
      <c r="P606" s="11"/>
      <c r="Q606" s="11"/>
    </row>
    <row r="607" spans="1:17" x14ac:dyDescent="0.3">
      <c r="A607" s="7" t="str">
        <f t="shared" si="221"/>
        <v>WMT</v>
      </c>
      <c r="B607" s="13">
        <v>1018</v>
      </c>
      <c r="D607" s="11" t="s">
        <v>32</v>
      </c>
      <c r="E607" s="11" t="s">
        <v>26</v>
      </c>
      <c r="F607" s="13">
        <v>59</v>
      </c>
      <c r="G607" s="13">
        <f>+B609/1000*F607</f>
        <v>59.941875999999993</v>
      </c>
      <c r="H607" s="12">
        <f>+MAX(0,(F607-18)/F607)</f>
        <v>0.69491525423728817</v>
      </c>
      <c r="I607" s="13">
        <f t="shared" si="222"/>
        <v>41.654523999999995</v>
      </c>
      <c r="J607" s="13">
        <f>+$M$1</f>
        <v>1569</v>
      </c>
      <c r="K607" s="13">
        <f t="shared" si="223"/>
        <v>14</v>
      </c>
      <c r="L607" s="13">
        <f t="shared" si="224"/>
        <v>1555</v>
      </c>
      <c r="M607" s="13">
        <f t="shared" si="225"/>
        <v>2082.4933892920935</v>
      </c>
      <c r="O607" s="7"/>
      <c r="P607" s="11"/>
      <c r="Q607" s="11"/>
    </row>
    <row r="608" spans="1:17" x14ac:dyDescent="0.3">
      <c r="A608" s="7" t="str">
        <f t="shared" si="221"/>
        <v>Moisture</v>
      </c>
      <c r="B608" s="15">
        <v>2E-3</v>
      </c>
      <c r="D608" s="11"/>
      <c r="E608" s="11"/>
      <c r="F608" s="11"/>
      <c r="G608" s="13"/>
      <c r="H608" s="11"/>
      <c r="I608" s="11"/>
      <c r="J608" s="13"/>
      <c r="K608" s="13"/>
      <c r="L608" s="13"/>
      <c r="M608" s="13"/>
      <c r="O608" s="7"/>
      <c r="P608" s="11"/>
      <c r="Q608" s="11"/>
    </row>
    <row r="609" spans="1:17" x14ac:dyDescent="0.3">
      <c r="A609" s="7" t="str">
        <f t="shared" si="221"/>
        <v>DMT</v>
      </c>
      <c r="B609" s="13">
        <f>+B607*(1-B608)</f>
        <v>1015.9639999999999</v>
      </c>
      <c r="D609" s="11"/>
      <c r="E609" s="11"/>
      <c r="F609" s="11"/>
      <c r="G609" s="13"/>
      <c r="H609" s="11"/>
      <c r="I609" s="11"/>
      <c r="J609" s="13"/>
      <c r="K609" s="13"/>
      <c r="L609" s="13"/>
      <c r="M609" s="13"/>
      <c r="O609" s="7" t="s">
        <v>35</v>
      </c>
      <c r="P609" s="13">
        <v>0</v>
      </c>
      <c r="Q609" s="13">
        <v>0</v>
      </c>
    </row>
    <row r="610" spans="1:17" x14ac:dyDescent="0.3">
      <c r="A610" s="7" t="str">
        <f t="shared" si="221"/>
        <v>Resultado USD / Kg</v>
      </c>
      <c r="B610" s="13">
        <f>+U612/B607</f>
        <v>0</v>
      </c>
      <c r="D610" s="11"/>
      <c r="E610" s="11"/>
      <c r="F610" s="11"/>
      <c r="G610" s="13"/>
      <c r="H610" s="11"/>
      <c r="I610" s="11"/>
      <c r="J610" s="13"/>
      <c r="K610" s="13"/>
      <c r="L610" s="13"/>
      <c r="M610" s="13"/>
      <c r="O610" s="7" t="s">
        <v>37</v>
      </c>
      <c r="P610" s="13">
        <v>0</v>
      </c>
      <c r="Q610" s="13">
        <v>0</v>
      </c>
    </row>
    <row r="611" spans="1:17" x14ac:dyDescent="0.3">
      <c r="A611" s="18" t="s">
        <v>47</v>
      </c>
      <c r="B611" s="13"/>
      <c r="C611" s="20"/>
      <c r="D611" s="11"/>
      <c r="E611" s="11"/>
      <c r="F611" s="11"/>
      <c r="G611" s="13"/>
      <c r="H611" s="11"/>
      <c r="I611" s="11"/>
      <c r="J611" s="13"/>
      <c r="K611" s="13"/>
      <c r="L611" s="13"/>
      <c r="M611" s="13"/>
      <c r="O611" s="7"/>
      <c r="P611" s="11"/>
      <c r="Q611" s="11"/>
    </row>
    <row r="612" spans="1:17" x14ac:dyDescent="0.3">
      <c r="D612" s="11"/>
      <c r="E612" s="11"/>
      <c r="F612" s="11"/>
      <c r="G612" s="13"/>
      <c r="H612" s="11"/>
      <c r="I612" s="11"/>
      <c r="J612" s="13"/>
      <c r="K612" s="13"/>
      <c r="L612" s="13"/>
      <c r="M612" s="13"/>
      <c r="O612" s="7"/>
      <c r="P612" s="11"/>
      <c r="Q612" s="11"/>
    </row>
    <row r="614" spans="1:17" x14ac:dyDescent="0.3">
      <c r="A614" s="6" t="s">
        <v>5</v>
      </c>
      <c r="B614" s="6"/>
      <c r="D614" s="6" t="s">
        <v>6</v>
      </c>
      <c r="E614" s="6"/>
      <c r="F614" s="6"/>
      <c r="G614" s="6"/>
      <c r="H614" s="6"/>
      <c r="I614" s="6"/>
      <c r="J614" s="6"/>
      <c r="K614" s="6"/>
      <c r="L614" s="6"/>
      <c r="M614" s="6"/>
      <c r="O614" s="6" t="s">
        <v>7</v>
      </c>
      <c r="P614" s="6"/>
      <c r="Q614" s="6"/>
    </row>
    <row r="615" spans="1:17" x14ac:dyDescent="0.3">
      <c r="A615" s="7" t="s">
        <v>8</v>
      </c>
      <c r="B615" s="8">
        <v>46031</v>
      </c>
      <c r="D615" s="6" t="s">
        <v>9</v>
      </c>
      <c r="E615" s="6"/>
      <c r="F615" s="6"/>
      <c r="G615" s="9" t="s">
        <v>10</v>
      </c>
      <c r="H615" s="9" t="s">
        <v>11</v>
      </c>
      <c r="I615" s="9" t="s">
        <v>12</v>
      </c>
      <c r="J615" s="9" t="s">
        <v>13</v>
      </c>
      <c r="K615" s="9" t="s">
        <v>14</v>
      </c>
      <c r="L615" s="9" t="s">
        <v>15</v>
      </c>
      <c r="M615" s="9" t="s">
        <v>16</v>
      </c>
      <c r="N615" s="10"/>
      <c r="O615" s="9" t="s">
        <v>17</v>
      </c>
      <c r="P615" s="9" t="s">
        <v>18</v>
      </c>
      <c r="Q615" s="9" t="s">
        <v>16</v>
      </c>
    </row>
    <row r="616" spans="1:17" x14ac:dyDescent="0.3">
      <c r="A616" s="7" t="s">
        <v>19</v>
      </c>
      <c r="B616" s="8">
        <f>+B615</f>
        <v>46031</v>
      </c>
      <c r="D616" s="11" t="s">
        <v>20</v>
      </c>
      <c r="E616" s="11" t="s">
        <v>21</v>
      </c>
      <c r="F616" s="12">
        <v>0.23200000000000001</v>
      </c>
      <c r="G616" s="13">
        <f>+F616*B622</f>
        <v>335.87220000000002</v>
      </c>
      <c r="H616" s="12">
        <f>+IF(F616&gt;=20,(F616-3%)/F616,IF(F616&gt;=23,(F616-5.16%)/F616,(F616-3%)/F616))</f>
        <v>0.87068965517241381</v>
      </c>
      <c r="I616" s="13">
        <f>+G616*H616</f>
        <v>292.44045</v>
      </c>
      <c r="J616" s="13">
        <f>+$G$1</f>
        <v>11803.79</v>
      </c>
      <c r="K616" s="13">
        <v>300</v>
      </c>
      <c r="L616" s="13">
        <f>+J616-K616</f>
        <v>11503.79</v>
      </c>
      <c r="M616" s="13">
        <f>+I616*L616/1000</f>
        <v>3364.1735243055</v>
      </c>
      <c r="O616" s="7" t="s">
        <v>22</v>
      </c>
      <c r="P616" s="14" t="s">
        <v>23</v>
      </c>
      <c r="Q616" s="13">
        <f>600*B622/1000</f>
        <v>868.63499999999999</v>
      </c>
    </row>
    <row r="617" spans="1:17" x14ac:dyDescent="0.3">
      <c r="A617" s="7" t="s">
        <v>24</v>
      </c>
      <c r="B617" s="14" t="s">
        <v>82</v>
      </c>
      <c r="D617" s="11" t="s">
        <v>25</v>
      </c>
      <c r="E617" s="11" t="s">
        <v>26</v>
      </c>
      <c r="F617" s="13">
        <v>277.2</v>
      </c>
      <c r="G617" s="13">
        <f>+B622/1000*F617</f>
        <v>401.30936999999994</v>
      </c>
      <c r="H617" s="12">
        <f>+MIN(0.96,(F617-7)/F617)</f>
        <v>0.96</v>
      </c>
      <c r="I617" s="13">
        <f t="shared" ref="I617:I620" si="226">+G617*H617</f>
        <v>385.25699519999995</v>
      </c>
      <c r="J617" s="13">
        <f>+$I$1</f>
        <v>4500</v>
      </c>
      <c r="K617" s="13">
        <v>5</v>
      </c>
      <c r="L617" s="13">
        <f t="shared" ref="L617:L620" si="227">+J617-K617</f>
        <v>4495</v>
      </c>
      <c r="M617" s="13">
        <f>+I617*L617/31.1034768</f>
        <v>55676.418574016127</v>
      </c>
      <c r="O617" s="7" t="s">
        <v>27</v>
      </c>
      <c r="P617" s="11">
        <v>100</v>
      </c>
      <c r="Q617" s="13">
        <f>+B620*P617/1000</f>
        <v>145.5</v>
      </c>
    </row>
    <row r="618" spans="1:17" x14ac:dyDescent="0.3">
      <c r="A618" s="7" t="s">
        <v>28</v>
      </c>
      <c r="B618" s="11">
        <v>300</v>
      </c>
      <c r="D618" s="11" t="s">
        <v>29</v>
      </c>
      <c r="E618" s="11" t="s">
        <v>26</v>
      </c>
      <c r="F618" s="13">
        <v>1646</v>
      </c>
      <c r="G618" s="13">
        <f>+B622/1000*F618</f>
        <v>2382.9553499999997</v>
      </c>
      <c r="H618" s="12">
        <f>+MIN(0.95,MAX(0,(F618-100)/F618))</f>
        <v>0.93924665856622114</v>
      </c>
      <c r="I618" s="13">
        <f t="shared" si="226"/>
        <v>2238.1828499999997</v>
      </c>
      <c r="J618" s="13">
        <f>+$K$1</f>
        <v>64.34</v>
      </c>
      <c r="K618" s="13">
        <v>0.5</v>
      </c>
      <c r="L618" s="13">
        <f t="shared" si="227"/>
        <v>63.84</v>
      </c>
      <c r="M618" s="13">
        <f t="shared" ref="M618:M620" si="228">+I618*L618/31.1034768</f>
        <v>4593.8784934808309</v>
      </c>
      <c r="O618" s="7"/>
      <c r="P618" s="11"/>
      <c r="Q618" s="13"/>
    </row>
    <row r="619" spans="1:17" x14ac:dyDescent="0.3">
      <c r="A619" s="7"/>
      <c r="B619" s="11"/>
      <c r="D619" s="11" t="s">
        <v>30</v>
      </c>
      <c r="E619" s="11" t="s">
        <v>26</v>
      </c>
      <c r="F619" s="13"/>
      <c r="G619" s="13"/>
      <c r="H619" s="11"/>
      <c r="I619" s="13">
        <f t="shared" si="226"/>
        <v>0</v>
      </c>
      <c r="J619" s="13">
        <v>0</v>
      </c>
      <c r="K619" s="13"/>
      <c r="L619" s="13">
        <f t="shared" si="227"/>
        <v>0</v>
      </c>
      <c r="M619" s="13">
        <f t="shared" si="228"/>
        <v>0</v>
      </c>
      <c r="O619" s="7"/>
      <c r="P619" s="11"/>
      <c r="Q619" s="13"/>
    </row>
    <row r="620" spans="1:17" x14ac:dyDescent="0.3">
      <c r="A620" s="7" t="s">
        <v>31</v>
      </c>
      <c r="B620" s="13">
        <v>1455</v>
      </c>
      <c r="D620" s="11" t="s">
        <v>32</v>
      </c>
      <c r="E620" s="11" t="s">
        <v>26</v>
      </c>
      <c r="F620" s="13">
        <v>57.8</v>
      </c>
      <c r="G620" s="13">
        <f>+B622/1000*F620</f>
        <v>83.678504999999987</v>
      </c>
      <c r="H620" s="12">
        <f>+MAX(0,(F620-18)/F620)</f>
        <v>0.68858131487889274</v>
      </c>
      <c r="I620" s="13">
        <f t="shared" si="226"/>
        <v>57.619454999999988</v>
      </c>
      <c r="J620" s="13">
        <f>+$M$1</f>
        <v>1569</v>
      </c>
      <c r="K620" s="13">
        <v>14</v>
      </c>
      <c r="L620" s="13">
        <f t="shared" si="227"/>
        <v>1555</v>
      </c>
      <c r="M620" s="13">
        <f t="shared" si="228"/>
        <v>2880.6507099232063</v>
      </c>
      <c r="O620" s="7"/>
      <c r="P620" s="11"/>
      <c r="Q620" s="13"/>
    </row>
    <row r="621" spans="1:17" x14ac:dyDescent="0.3">
      <c r="A621" s="7" t="s">
        <v>33</v>
      </c>
      <c r="B621" s="15">
        <v>5.0000000000000001E-3</v>
      </c>
      <c r="D621" s="11"/>
      <c r="E621" s="11"/>
      <c r="F621" s="13"/>
      <c r="G621" s="13"/>
      <c r="H621" s="11"/>
      <c r="I621" s="11"/>
      <c r="J621" s="13"/>
      <c r="K621" s="13"/>
      <c r="L621" s="13"/>
      <c r="M621" s="13"/>
      <c r="O621" s="7"/>
      <c r="P621" s="11"/>
      <c r="Q621" s="13"/>
    </row>
    <row r="622" spans="1:17" x14ac:dyDescent="0.3">
      <c r="A622" s="7" t="s">
        <v>34</v>
      </c>
      <c r="B622" s="13">
        <f>+B620*(1-B621)</f>
        <v>1447.7249999999999</v>
      </c>
      <c r="D622" s="11"/>
      <c r="E622" s="11"/>
      <c r="F622" s="13"/>
      <c r="G622" s="13"/>
      <c r="H622" s="11"/>
      <c r="I622" s="11"/>
      <c r="J622" s="13"/>
      <c r="K622" s="13"/>
      <c r="L622" s="13"/>
      <c r="M622" s="13"/>
      <c r="O622" s="7" t="s">
        <v>35</v>
      </c>
      <c r="P622" s="13">
        <v>0</v>
      </c>
      <c r="Q622" s="13">
        <v>0</v>
      </c>
    </row>
    <row r="623" spans="1:17" x14ac:dyDescent="0.3">
      <c r="A623" s="7" t="s">
        <v>36</v>
      </c>
      <c r="B623" s="13">
        <f>+U625/B620</f>
        <v>0</v>
      </c>
      <c r="D623" s="11"/>
      <c r="E623" s="11"/>
      <c r="F623" s="11"/>
      <c r="G623" s="13"/>
      <c r="H623" s="11"/>
      <c r="I623" s="11"/>
      <c r="J623" s="13"/>
      <c r="K623" s="13"/>
      <c r="L623" s="13"/>
      <c r="M623" s="13"/>
      <c r="O623" s="7" t="s">
        <v>37</v>
      </c>
      <c r="P623" s="13">
        <v>0</v>
      </c>
      <c r="Q623" s="13">
        <v>0</v>
      </c>
    </row>
    <row r="624" spans="1:17" x14ac:dyDescent="0.3">
      <c r="A624" s="16" t="s">
        <v>83</v>
      </c>
      <c r="B624" s="11"/>
      <c r="C624" s="20"/>
      <c r="D624" s="11"/>
      <c r="E624" s="11"/>
      <c r="F624" s="11"/>
      <c r="G624" s="13"/>
      <c r="H624" s="11"/>
      <c r="I624" s="11"/>
      <c r="J624" s="13"/>
      <c r="K624" s="13"/>
      <c r="L624" s="13"/>
      <c r="M624" s="13"/>
      <c r="O624" s="7"/>
      <c r="P624" s="11"/>
      <c r="Q624" s="13"/>
    </row>
    <row r="625" spans="1:17" x14ac:dyDescent="0.3">
      <c r="D625" s="11"/>
      <c r="E625" s="11"/>
      <c r="F625" s="11"/>
      <c r="G625" s="13"/>
      <c r="H625" s="11"/>
      <c r="I625" s="11"/>
      <c r="J625" s="13"/>
      <c r="K625" s="13"/>
      <c r="L625" s="13"/>
      <c r="M625" s="13"/>
      <c r="O625" s="7"/>
      <c r="P625" s="11"/>
      <c r="Q625" s="13"/>
    </row>
    <row r="627" spans="1:17" x14ac:dyDescent="0.3">
      <c r="A627" s="6" t="s">
        <v>5</v>
      </c>
      <c r="B627" s="6"/>
      <c r="D627" s="6" t="s">
        <v>6</v>
      </c>
      <c r="E627" s="6"/>
      <c r="F627" s="6"/>
      <c r="G627" s="6"/>
      <c r="H627" s="6"/>
      <c r="I627" s="6"/>
      <c r="J627" s="6"/>
      <c r="K627" s="6"/>
      <c r="L627" s="6"/>
      <c r="M627" s="6"/>
      <c r="O627" s="6" t="s">
        <v>7</v>
      </c>
      <c r="P627" s="6"/>
      <c r="Q627" s="6"/>
    </row>
    <row r="628" spans="1:17" x14ac:dyDescent="0.3">
      <c r="A628" s="7" t="s">
        <v>8</v>
      </c>
      <c r="B628" s="8">
        <f>+B615</f>
        <v>46031</v>
      </c>
      <c r="D628" s="6" t="s">
        <v>9</v>
      </c>
      <c r="E628" s="6"/>
      <c r="F628" s="6"/>
      <c r="G628" s="9" t="s">
        <v>10</v>
      </c>
      <c r="H628" s="9" t="s">
        <v>11</v>
      </c>
      <c r="I628" s="9" t="s">
        <v>12</v>
      </c>
      <c r="J628" s="9" t="s">
        <v>13</v>
      </c>
      <c r="K628" s="9" t="s">
        <v>14</v>
      </c>
      <c r="L628" s="9" t="s">
        <v>15</v>
      </c>
      <c r="M628" s="9" t="s">
        <v>16</v>
      </c>
      <c r="N628" s="10"/>
      <c r="O628" s="9" t="s">
        <v>17</v>
      </c>
      <c r="P628" s="9" t="s">
        <v>18</v>
      </c>
      <c r="Q628" s="9" t="s">
        <v>16</v>
      </c>
    </row>
    <row r="629" spans="1:17" x14ac:dyDescent="0.3">
      <c r="A629" s="7" t="s">
        <v>19</v>
      </c>
      <c r="B629" s="8">
        <f>+B628</f>
        <v>46031</v>
      </c>
      <c r="D629" s="11" t="s">
        <v>20</v>
      </c>
      <c r="E629" s="11" t="s">
        <v>21</v>
      </c>
      <c r="F629" s="12">
        <v>0.23699999999999999</v>
      </c>
      <c r="G629" s="13">
        <f>+F629*B635</f>
        <v>146.32214099999999</v>
      </c>
      <c r="H629" s="12">
        <f>+IF(F629&gt;=20,(F629-3%)/F629,IF(F629&gt;=23,(F629-5.16%)/F629,(F629-3%)/F629))</f>
        <v>0.87341772151898733</v>
      </c>
      <c r="I629" s="13">
        <f>+G629*H629</f>
        <v>127.80035099999999</v>
      </c>
      <c r="J629" s="13">
        <f>+$G$1</f>
        <v>11803.79</v>
      </c>
      <c r="K629" s="13">
        <f>+K616</f>
        <v>300</v>
      </c>
      <c r="L629" s="13">
        <f>+J629-K629</f>
        <v>11503.79</v>
      </c>
      <c r="M629" s="13">
        <f>+I629*L629/1000</f>
        <v>1470.1883998302901</v>
      </c>
      <c r="O629" s="7" t="s">
        <v>22</v>
      </c>
      <c r="P629" s="14" t="s">
        <v>23</v>
      </c>
      <c r="Q629" s="13">
        <f>600*B635/1000</f>
        <v>370.43580000000003</v>
      </c>
    </row>
    <row r="630" spans="1:17" x14ac:dyDescent="0.3">
      <c r="A630" s="7" t="s">
        <v>24</v>
      </c>
      <c r="B630" s="14" t="s">
        <v>84</v>
      </c>
      <c r="D630" s="11" t="s">
        <v>25</v>
      </c>
      <c r="E630" s="11" t="s">
        <v>26</v>
      </c>
      <c r="F630" s="13">
        <v>152.5</v>
      </c>
      <c r="G630" s="13">
        <f>+B635/1000*F630</f>
        <v>94.152432500000018</v>
      </c>
      <c r="H630" s="12">
        <f>+MIN(0.96,(F630-7)/F630)</f>
        <v>0.95409836065573772</v>
      </c>
      <c r="I630" s="13">
        <f t="shared" ref="I630:I633" si="229">+G630*H630</f>
        <v>89.830681500000011</v>
      </c>
      <c r="J630" s="13">
        <f>+$I$1</f>
        <v>4500</v>
      </c>
      <c r="K630" s="13">
        <f t="shared" ref="K630:K633" si="230">+K617</f>
        <v>5</v>
      </c>
      <c r="L630" s="13">
        <f t="shared" ref="L630:L633" si="231">+J630-K630</f>
        <v>4495</v>
      </c>
      <c r="M630" s="13">
        <f>+I630*L630/31.1034768</f>
        <v>12982.115020096404</v>
      </c>
      <c r="O630" s="7" t="s">
        <v>27</v>
      </c>
      <c r="P630" s="11">
        <v>100</v>
      </c>
      <c r="Q630" s="13">
        <f>+B633*P630/1000</f>
        <v>62.3</v>
      </c>
    </row>
    <row r="631" spans="1:17" x14ac:dyDescent="0.3">
      <c r="A631" s="7" t="s">
        <v>28</v>
      </c>
      <c r="B631" s="11">
        <v>301</v>
      </c>
      <c r="D631" s="11" t="s">
        <v>29</v>
      </c>
      <c r="E631" s="11" t="s">
        <v>26</v>
      </c>
      <c r="F631" s="13">
        <v>1232</v>
      </c>
      <c r="G631" s="13">
        <f>+B635/1000*F631</f>
        <v>760.62817600000005</v>
      </c>
      <c r="H631" s="12">
        <f>+MIN(0.95,MAX(0,(F631-100)/F631))</f>
        <v>0.91883116883116878</v>
      </c>
      <c r="I631" s="13">
        <f t="shared" si="229"/>
        <v>698.88887599999998</v>
      </c>
      <c r="J631" s="13">
        <f>+$K$1</f>
        <v>64.34</v>
      </c>
      <c r="K631" s="13">
        <f t="shared" si="230"/>
        <v>0.5</v>
      </c>
      <c r="L631" s="13">
        <f t="shared" si="231"/>
        <v>63.84</v>
      </c>
      <c r="M631" s="13">
        <f t="shared" ref="M631:M633" si="232">+I631*L631/31.1034768</f>
        <v>1434.4719765810876</v>
      </c>
      <c r="O631" s="7"/>
      <c r="P631" s="11"/>
      <c r="Q631" s="13"/>
    </row>
    <row r="632" spans="1:17" x14ac:dyDescent="0.3">
      <c r="A632" s="7"/>
      <c r="B632" s="11"/>
      <c r="D632" s="11" t="s">
        <v>30</v>
      </c>
      <c r="E632" s="11" t="s">
        <v>26</v>
      </c>
      <c r="F632" s="13"/>
      <c r="G632" s="13"/>
      <c r="H632" s="11"/>
      <c r="I632" s="13">
        <f t="shared" si="229"/>
        <v>0</v>
      </c>
      <c r="J632" s="13">
        <v>0</v>
      </c>
      <c r="K632" s="13">
        <f t="shared" si="230"/>
        <v>0</v>
      </c>
      <c r="L632" s="13">
        <f t="shared" si="231"/>
        <v>0</v>
      </c>
      <c r="M632" s="13">
        <f t="shared" si="232"/>
        <v>0</v>
      </c>
      <c r="O632" s="7"/>
      <c r="P632" s="11"/>
      <c r="Q632" s="13"/>
    </row>
    <row r="633" spans="1:17" x14ac:dyDescent="0.3">
      <c r="A633" s="7" t="s">
        <v>31</v>
      </c>
      <c r="B633" s="13">
        <v>623</v>
      </c>
      <c r="D633" s="11" t="s">
        <v>32</v>
      </c>
      <c r="E633" s="11" t="s">
        <v>26</v>
      </c>
      <c r="F633" s="13">
        <v>29.6</v>
      </c>
      <c r="G633" s="13">
        <f>+B635/1000*F633</f>
        <v>18.274832800000002</v>
      </c>
      <c r="H633" s="12">
        <f>+MAX(0,(F633-18)/F633)</f>
        <v>0.39189189189189194</v>
      </c>
      <c r="I633" s="13">
        <f t="shared" si="229"/>
        <v>7.1617588000000021</v>
      </c>
      <c r="J633" s="13">
        <f>+$M$1</f>
        <v>1569</v>
      </c>
      <c r="K633" s="13">
        <f t="shared" si="230"/>
        <v>14</v>
      </c>
      <c r="L633" s="13">
        <f t="shared" si="231"/>
        <v>1555</v>
      </c>
      <c r="M633" s="13">
        <f t="shared" si="232"/>
        <v>358.04791231570624</v>
      </c>
      <c r="O633" s="7"/>
      <c r="P633" s="11"/>
      <c r="Q633" s="13"/>
    </row>
    <row r="634" spans="1:17" x14ac:dyDescent="0.3">
      <c r="A634" s="7" t="s">
        <v>33</v>
      </c>
      <c r="B634" s="15">
        <v>8.9999999999999993E-3</v>
      </c>
      <c r="D634" s="11"/>
      <c r="E634" s="11"/>
      <c r="F634" s="13"/>
      <c r="G634" s="13"/>
      <c r="H634" s="11"/>
      <c r="I634" s="11"/>
      <c r="J634" s="13"/>
      <c r="K634" s="13"/>
      <c r="L634" s="13"/>
      <c r="M634" s="13"/>
      <c r="O634" s="7"/>
      <c r="P634" s="11"/>
      <c r="Q634" s="13"/>
    </row>
    <row r="635" spans="1:17" x14ac:dyDescent="0.3">
      <c r="A635" s="7" t="s">
        <v>34</v>
      </c>
      <c r="B635" s="13">
        <f>+B633*(1-B634)</f>
        <v>617.39300000000003</v>
      </c>
      <c r="D635" s="11"/>
      <c r="E635" s="11"/>
      <c r="F635" s="13"/>
      <c r="G635" s="13"/>
      <c r="H635" s="11"/>
      <c r="I635" s="11"/>
      <c r="J635" s="13"/>
      <c r="K635" s="13"/>
      <c r="L635" s="13"/>
      <c r="M635" s="13"/>
      <c r="O635" s="7" t="s">
        <v>35</v>
      </c>
      <c r="P635" s="13">
        <v>0</v>
      </c>
      <c r="Q635" s="13">
        <v>0</v>
      </c>
    </row>
    <row r="636" spans="1:17" x14ac:dyDescent="0.3">
      <c r="A636" s="7" t="str">
        <f>+A623</f>
        <v>Resultado USD / Kg</v>
      </c>
      <c r="B636" s="13">
        <f>+U638/B633</f>
        <v>0</v>
      </c>
      <c r="D636" s="11"/>
      <c r="E636" s="11"/>
      <c r="F636" s="11"/>
      <c r="G636" s="13"/>
      <c r="H636" s="11"/>
      <c r="I636" s="11"/>
      <c r="J636" s="13"/>
      <c r="K636" s="13"/>
      <c r="L636" s="13"/>
      <c r="M636" s="13"/>
      <c r="O636" s="7" t="s">
        <v>37</v>
      </c>
      <c r="P636" s="13">
        <v>0</v>
      </c>
      <c r="Q636" s="13">
        <v>0</v>
      </c>
    </row>
    <row r="637" spans="1:17" x14ac:dyDescent="0.3">
      <c r="A637" s="18" t="s">
        <v>51</v>
      </c>
      <c r="B637" s="11"/>
      <c r="C637" s="20"/>
      <c r="D637" s="11"/>
      <c r="E637" s="11"/>
      <c r="F637" s="11"/>
      <c r="G637" s="13"/>
      <c r="H637" s="11"/>
      <c r="I637" s="11"/>
      <c r="J637" s="13"/>
      <c r="K637" s="13"/>
      <c r="L637" s="13"/>
      <c r="M637" s="13"/>
      <c r="O637" s="7"/>
      <c r="P637" s="11"/>
      <c r="Q637" s="13"/>
    </row>
    <row r="638" spans="1:17" x14ac:dyDescent="0.3">
      <c r="D638" s="11"/>
      <c r="E638" s="11"/>
      <c r="F638" s="11"/>
      <c r="G638" s="13"/>
      <c r="H638" s="11"/>
      <c r="I638" s="11"/>
      <c r="J638" s="13"/>
      <c r="K638" s="13"/>
      <c r="L638" s="13"/>
      <c r="M638" s="13"/>
      <c r="O638" s="7"/>
      <c r="P638" s="11"/>
      <c r="Q638" s="13"/>
    </row>
    <row r="640" spans="1:17" x14ac:dyDescent="0.3">
      <c r="A640" s="6" t="s">
        <v>5</v>
      </c>
      <c r="B640" s="6"/>
      <c r="D640" s="6" t="s">
        <v>6</v>
      </c>
      <c r="E640" s="6"/>
      <c r="F640" s="6"/>
      <c r="G640" s="6"/>
      <c r="H640" s="6"/>
      <c r="I640" s="6"/>
      <c r="J640" s="6"/>
      <c r="K640" s="6"/>
      <c r="L640" s="6"/>
      <c r="M640" s="6"/>
      <c r="O640" s="6" t="s">
        <v>7</v>
      </c>
      <c r="P640" s="6"/>
      <c r="Q640" s="6"/>
    </row>
    <row r="641" spans="1:17" x14ac:dyDescent="0.3">
      <c r="A641" s="7" t="str">
        <f>+A628</f>
        <v>Arrival date</v>
      </c>
      <c r="B641" s="8">
        <f>+B628</f>
        <v>46031</v>
      </c>
      <c r="D641" s="6" t="s">
        <v>9</v>
      </c>
      <c r="E641" s="6"/>
      <c r="F641" s="6"/>
      <c r="G641" s="9" t="s">
        <v>10</v>
      </c>
      <c r="H641" s="9" t="s">
        <v>11</v>
      </c>
      <c r="I641" s="9" t="s">
        <v>12</v>
      </c>
      <c r="J641" s="9" t="s">
        <v>13</v>
      </c>
      <c r="K641" s="9" t="s">
        <v>14</v>
      </c>
      <c r="L641" s="9" t="s">
        <v>15</v>
      </c>
      <c r="M641" s="9" t="s">
        <v>16</v>
      </c>
      <c r="N641" s="10"/>
      <c r="O641" s="9" t="s">
        <v>17</v>
      </c>
      <c r="P641" s="9" t="s">
        <v>18</v>
      </c>
      <c r="Q641" s="9" t="s">
        <v>16</v>
      </c>
    </row>
    <row r="642" spans="1:17" x14ac:dyDescent="0.3">
      <c r="A642" s="7" t="str">
        <f t="shared" ref="A642:A644" si="233">+A629</f>
        <v>Receptive date</v>
      </c>
      <c r="B642" s="8">
        <f>+B641</f>
        <v>46031</v>
      </c>
      <c r="D642" s="11" t="s">
        <v>20</v>
      </c>
      <c r="E642" s="11" t="s">
        <v>21</v>
      </c>
      <c r="F642" s="12">
        <v>0.1633</v>
      </c>
      <c r="G642" s="13">
        <f>+F642*B648</f>
        <v>1368.4892728</v>
      </c>
      <c r="H642" s="12">
        <f>+IF(F642&gt;=20,(F642-3%)/F642,IF(F642&gt;=23,(F642-5.16%)/F642,(F642-3%)/F642))</f>
        <v>0.81628903857930191</v>
      </c>
      <c r="I642" s="13">
        <f>+G642*H642</f>
        <v>1117.0827928000001</v>
      </c>
      <c r="J642" s="13">
        <f>+$G$1</f>
        <v>11803.79</v>
      </c>
      <c r="K642" s="13">
        <f>+K629</f>
        <v>300</v>
      </c>
      <c r="L642" s="13">
        <f>+J642-K642</f>
        <v>11503.79</v>
      </c>
      <c r="M642" s="13">
        <f>+I642*L642/1000</f>
        <v>12850.685860984715</v>
      </c>
      <c r="O642" s="7" t="s">
        <v>22</v>
      </c>
      <c r="P642" s="14" t="s">
        <v>23</v>
      </c>
      <c r="Q642" s="17">
        <f>600*B648/1000</f>
        <v>5028.1296000000002</v>
      </c>
    </row>
    <row r="643" spans="1:17" x14ac:dyDescent="0.3">
      <c r="A643" s="7" t="str">
        <f t="shared" si="233"/>
        <v>Customer lot No.</v>
      </c>
      <c r="B643" s="14" t="s">
        <v>85</v>
      </c>
      <c r="D643" s="11" t="s">
        <v>25</v>
      </c>
      <c r="E643" s="11" t="s">
        <v>26</v>
      </c>
      <c r="F643" s="13">
        <v>43.4</v>
      </c>
      <c r="G643" s="13">
        <f>+B648/1000*F643</f>
        <v>363.70137440000002</v>
      </c>
      <c r="H643" s="12">
        <f>+MIN(0.96,(F643-7)/F643)</f>
        <v>0.83870967741935487</v>
      </c>
      <c r="I643" s="13">
        <f t="shared" ref="I643:I646" si="234">+G643*H643</f>
        <v>305.0398624</v>
      </c>
      <c r="J643" s="13">
        <f>+$I$1</f>
        <v>4500</v>
      </c>
      <c r="K643" s="13">
        <f t="shared" ref="K643:K646" si="235">+K630</f>
        <v>5</v>
      </c>
      <c r="L643" s="13">
        <f t="shared" ref="L643:L646" si="236">+J643-K643</f>
        <v>4495</v>
      </c>
      <c r="M643" s="13">
        <f>+I643*L643/31.1034768</f>
        <v>44083.630595535229</v>
      </c>
      <c r="O643" s="7" t="s">
        <v>27</v>
      </c>
      <c r="P643" s="11">
        <v>100</v>
      </c>
      <c r="Q643" s="11">
        <f>+B646*P643/1000</f>
        <v>848.2</v>
      </c>
    </row>
    <row r="644" spans="1:17" x14ac:dyDescent="0.3">
      <c r="A644" s="7" t="str">
        <f t="shared" si="233"/>
        <v>Lot No. (JX)</v>
      </c>
      <c r="B644" s="11">
        <v>299</v>
      </c>
      <c r="D644" s="11" t="s">
        <v>29</v>
      </c>
      <c r="E644" s="11" t="s">
        <v>26</v>
      </c>
      <c r="F644" s="13">
        <v>615</v>
      </c>
      <c r="G644" s="13">
        <f>+B648/1000*F644</f>
        <v>5153.83284</v>
      </c>
      <c r="H644" s="12">
        <f>+MIN(0.95,MAX(0,(F644-100)/F644))</f>
        <v>0.83739837398373984</v>
      </c>
      <c r="I644" s="13">
        <f t="shared" si="234"/>
        <v>4315.81124</v>
      </c>
      <c r="J644" s="13">
        <f>+$K$1</f>
        <v>64.34</v>
      </c>
      <c r="K644" s="13">
        <f t="shared" si="235"/>
        <v>0.5</v>
      </c>
      <c r="L644" s="13">
        <f t="shared" si="236"/>
        <v>63.84</v>
      </c>
      <c r="M644" s="13">
        <f t="shared" ref="M644:M646" si="237">+I644*L644/31.1034768</f>
        <v>8858.2183700312235</v>
      </c>
      <c r="O644" s="7"/>
      <c r="P644" s="11"/>
      <c r="Q644" s="11"/>
    </row>
    <row r="645" spans="1:17" x14ac:dyDescent="0.3">
      <c r="A645" s="7"/>
      <c r="B645" s="11"/>
      <c r="D645" s="11" t="s">
        <v>30</v>
      </c>
      <c r="E645" s="11" t="s">
        <v>26</v>
      </c>
      <c r="F645" s="13"/>
      <c r="G645" s="13"/>
      <c r="H645" s="11"/>
      <c r="I645" s="13">
        <f t="shared" si="234"/>
        <v>0</v>
      </c>
      <c r="J645" s="13">
        <v>0</v>
      </c>
      <c r="K645" s="13">
        <f t="shared" si="235"/>
        <v>0</v>
      </c>
      <c r="L645" s="13">
        <f t="shared" si="236"/>
        <v>0</v>
      </c>
      <c r="M645" s="13">
        <f t="shared" si="237"/>
        <v>0</v>
      </c>
      <c r="O645" s="7"/>
      <c r="P645" s="11"/>
      <c r="Q645" s="11"/>
    </row>
    <row r="646" spans="1:17" x14ac:dyDescent="0.3">
      <c r="A646" s="7" t="str">
        <f>+A633</f>
        <v>WMT</v>
      </c>
      <c r="B646" s="13">
        <v>8482</v>
      </c>
      <c r="D646" s="11" t="s">
        <v>32</v>
      </c>
      <c r="E646" s="11" t="s">
        <v>26</v>
      </c>
      <c r="F646" s="13">
        <v>17.2</v>
      </c>
      <c r="G646" s="13">
        <f>+B648/1000*F646</f>
        <v>144.13971520000001</v>
      </c>
      <c r="H646" s="12">
        <f>+MAX(0,(F646-18)/F646)</f>
        <v>0</v>
      </c>
      <c r="I646" s="13">
        <f t="shared" si="234"/>
        <v>0</v>
      </c>
      <c r="J646" s="13">
        <f>+$M$1</f>
        <v>1569</v>
      </c>
      <c r="K646" s="13">
        <f t="shared" si="235"/>
        <v>14</v>
      </c>
      <c r="L646" s="13">
        <f t="shared" si="236"/>
        <v>1555</v>
      </c>
      <c r="M646" s="13">
        <f t="shared" si="237"/>
        <v>0</v>
      </c>
      <c r="O646" s="7"/>
      <c r="P646" s="11"/>
      <c r="Q646" s="11"/>
    </row>
    <row r="647" spans="1:17" x14ac:dyDescent="0.3">
      <c r="A647" s="7" t="str">
        <f t="shared" ref="A647:A649" si="238">+A634</f>
        <v>Moisture</v>
      </c>
      <c r="B647" s="15">
        <v>1.2E-2</v>
      </c>
      <c r="D647" s="11"/>
      <c r="E647" s="11"/>
      <c r="F647" s="13"/>
      <c r="G647" s="13"/>
      <c r="H647" s="11"/>
      <c r="I647" s="11"/>
      <c r="J647" s="13"/>
      <c r="K647" s="13"/>
      <c r="L647" s="13"/>
      <c r="M647" s="13"/>
      <c r="O647" s="7"/>
      <c r="P647" s="11"/>
      <c r="Q647" s="11"/>
    </row>
    <row r="648" spans="1:17" x14ac:dyDescent="0.3">
      <c r="A648" s="7" t="str">
        <f t="shared" si="238"/>
        <v>DMT</v>
      </c>
      <c r="B648" s="13">
        <f>+B646*(1-B647)</f>
        <v>8380.2160000000003</v>
      </c>
      <c r="D648" s="11"/>
      <c r="E648" s="11"/>
      <c r="F648" s="13"/>
      <c r="G648" s="13"/>
      <c r="H648" s="11"/>
      <c r="I648" s="11"/>
      <c r="J648" s="13"/>
      <c r="K648" s="13"/>
      <c r="L648" s="13"/>
      <c r="M648" s="13"/>
      <c r="O648" s="7" t="s">
        <v>35</v>
      </c>
      <c r="P648" s="13">
        <v>0</v>
      </c>
      <c r="Q648" s="13">
        <v>0</v>
      </c>
    </row>
    <row r="649" spans="1:17" x14ac:dyDescent="0.3">
      <c r="A649" s="7" t="str">
        <f t="shared" si="238"/>
        <v>Resultado USD / Kg</v>
      </c>
      <c r="B649" s="13">
        <f>+U651/B646</f>
        <v>0</v>
      </c>
      <c r="D649" s="11"/>
      <c r="E649" s="11"/>
      <c r="F649" s="11"/>
      <c r="G649" s="13"/>
      <c r="H649" s="11"/>
      <c r="I649" s="11"/>
      <c r="J649" s="13"/>
      <c r="K649" s="13"/>
      <c r="L649" s="13"/>
      <c r="M649" s="13"/>
      <c r="O649" s="7" t="s">
        <v>37</v>
      </c>
      <c r="P649" s="13">
        <v>0</v>
      </c>
      <c r="Q649" s="13">
        <v>0</v>
      </c>
    </row>
    <row r="650" spans="1:17" x14ac:dyDescent="0.3">
      <c r="A650" s="16" t="s">
        <v>86</v>
      </c>
      <c r="B650" s="11"/>
      <c r="C650" s="20"/>
      <c r="D650" s="11"/>
      <c r="E650" s="11"/>
      <c r="F650" s="11"/>
      <c r="G650" s="13"/>
      <c r="H650" s="11"/>
      <c r="I650" s="11"/>
      <c r="J650" s="13"/>
      <c r="K650" s="13"/>
      <c r="L650" s="13"/>
      <c r="M650" s="13"/>
      <c r="O650" s="7"/>
      <c r="P650" s="11"/>
      <c r="Q650" s="11"/>
    </row>
    <row r="651" spans="1:17" x14ac:dyDescent="0.3">
      <c r="D651" s="11"/>
      <c r="E651" s="11"/>
      <c r="F651" s="11"/>
      <c r="G651" s="13"/>
      <c r="H651" s="11"/>
      <c r="I651" s="11"/>
      <c r="J651" s="13"/>
      <c r="K651" s="13"/>
      <c r="L651" s="13"/>
      <c r="M651" s="13"/>
      <c r="O651" s="7"/>
      <c r="P651" s="11"/>
      <c r="Q651" s="11"/>
    </row>
    <row r="653" spans="1:17" x14ac:dyDescent="0.3">
      <c r="A653" s="6" t="s">
        <v>5</v>
      </c>
      <c r="B653" s="6"/>
      <c r="D653" s="6" t="s">
        <v>6</v>
      </c>
      <c r="E653" s="6"/>
      <c r="F653" s="6"/>
      <c r="G653" s="6"/>
      <c r="H653" s="6"/>
      <c r="I653" s="6"/>
      <c r="J653" s="6"/>
      <c r="K653" s="6"/>
      <c r="L653" s="6"/>
      <c r="M653" s="6"/>
      <c r="O653" s="6" t="s">
        <v>7</v>
      </c>
      <c r="P653" s="6"/>
      <c r="Q653" s="6"/>
    </row>
    <row r="654" spans="1:17" x14ac:dyDescent="0.3">
      <c r="A654" s="7" t="s">
        <v>8</v>
      </c>
      <c r="B654" s="8">
        <f>+B641</f>
        <v>46031</v>
      </c>
      <c r="D654" s="6" t="s">
        <v>9</v>
      </c>
      <c r="E654" s="6"/>
      <c r="F654" s="6"/>
      <c r="G654" s="9" t="s">
        <v>10</v>
      </c>
      <c r="H654" s="9" t="s">
        <v>11</v>
      </c>
      <c r="I654" s="9" t="s">
        <v>12</v>
      </c>
      <c r="J654" s="9" t="s">
        <v>13</v>
      </c>
      <c r="K654" s="9" t="s">
        <v>14</v>
      </c>
      <c r="L654" s="9" t="s">
        <v>15</v>
      </c>
      <c r="M654" s="9" t="s">
        <v>16</v>
      </c>
      <c r="N654" s="10"/>
      <c r="O654" s="9" t="s">
        <v>17</v>
      </c>
      <c r="P654" s="9" t="s">
        <v>18</v>
      </c>
      <c r="Q654" s="9" t="s">
        <v>16</v>
      </c>
    </row>
    <row r="655" spans="1:17" x14ac:dyDescent="0.3">
      <c r="A655" s="7" t="s">
        <v>19</v>
      </c>
      <c r="B655" s="8">
        <f>+B654</f>
        <v>46031</v>
      </c>
      <c r="D655" s="11" t="s">
        <v>20</v>
      </c>
      <c r="E655" s="11" t="s">
        <v>21</v>
      </c>
      <c r="F655" s="12">
        <v>0.35220000000000001</v>
      </c>
      <c r="G655" s="13">
        <f>+F655*B661</f>
        <v>265.19814719999999</v>
      </c>
      <c r="H655" s="12">
        <f>+IF(F655&gt;=20,(F655-3%)/F655,IF(F655&gt;=23,(F655-5.16%)/F655,(F655-3%)/F655))</f>
        <v>0.91482112436115848</v>
      </c>
      <c r="I655" s="13">
        <f>+G655*H655</f>
        <v>242.60886720000002</v>
      </c>
      <c r="J655" s="13">
        <f>+$G$1</f>
        <v>11803.79</v>
      </c>
      <c r="K655" s="13">
        <f>+K642</f>
        <v>300</v>
      </c>
      <c r="L655" s="13">
        <f>+J655-K655</f>
        <v>11503.79</v>
      </c>
      <c r="M655" s="13">
        <f>+I655*L655/1000</f>
        <v>2790.9214604066883</v>
      </c>
      <c r="O655" s="7" t="s">
        <v>22</v>
      </c>
      <c r="P655" s="14" t="s">
        <v>23</v>
      </c>
      <c r="Q655" s="17">
        <f>600*B661/1000</f>
        <v>451.78559999999999</v>
      </c>
    </row>
    <row r="656" spans="1:17" x14ac:dyDescent="0.3">
      <c r="A656" s="7" t="s">
        <v>24</v>
      </c>
      <c r="B656" s="14" t="s">
        <v>87</v>
      </c>
      <c r="D656" s="11" t="s">
        <v>25</v>
      </c>
      <c r="E656" s="11" t="s">
        <v>26</v>
      </c>
      <c r="F656" s="13">
        <v>529.79999999999995</v>
      </c>
      <c r="G656" s="13">
        <f>+B661/1000*F656</f>
        <v>398.92668479999998</v>
      </c>
      <c r="H656" s="12">
        <f>+MIN(0.96,(F656-7)/F656)</f>
        <v>0.96</v>
      </c>
      <c r="I656" s="13">
        <f t="shared" ref="I656:I659" si="239">+G656*H656</f>
        <v>382.96961740799998</v>
      </c>
      <c r="J656" s="13">
        <f>+$I$1</f>
        <v>4500</v>
      </c>
      <c r="K656" s="13">
        <f t="shared" ref="K656:K659" si="240">+K643</f>
        <v>5</v>
      </c>
      <c r="L656" s="13">
        <f t="shared" ref="L656:L659" si="241">+J656-K656</f>
        <v>4495</v>
      </c>
      <c r="M656" s="13">
        <f>+I656*L656/31.1034768</f>
        <v>55345.852211896774</v>
      </c>
      <c r="O656" s="7" t="s">
        <v>27</v>
      </c>
      <c r="P656" s="11">
        <v>100</v>
      </c>
      <c r="Q656" s="11">
        <f>+B659*P656/1000</f>
        <v>75.599999999999994</v>
      </c>
    </row>
    <row r="657" spans="1:17" x14ac:dyDescent="0.3">
      <c r="A657" s="7" t="s">
        <v>28</v>
      </c>
      <c r="B657" s="11">
        <v>302</v>
      </c>
      <c r="D657" s="11" t="s">
        <v>29</v>
      </c>
      <c r="E657" s="11" t="s">
        <v>26</v>
      </c>
      <c r="F657" s="13">
        <v>1996</v>
      </c>
      <c r="G657" s="13">
        <f>+B661/1000*F657</f>
        <v>1502.940096</v>
      </c>
      <c r="H657" s="12">
        <f>+MIN(0.95,MAX(0,(F657-100)/F657))</f>
        <v>0.94989979959919835</v>
      </c>
      <c r="I657" s="13">
        <f t="shared" si="239"/>
        <v>1427.6424959999999</v>
      </c>
      <c r="J657" s="13">
        <f>+$K$1</f>
        <v>64.34</v>
      </c>
      <c r="K657" s="13">
        <f t="shared" si="240"/>
        <v>0.5</v>
      </c>
      <c r="L657" s="13">
        <f t="shared" si="241"/>
        <v>63.84</v>
      </c>
      <c r="M657" s="13">
        <f t="shared" ref="M657:M659" si="242">+I657*L657/31.1034768</f>
        <v>2930.2414495552475</v>
      </c>
      <c r="O657" s="7"/>
      <c r="P657" s="11"/>
      <c r="Q657" s="11"/>
    </row>
    <row r="658" spans="1:17" x14ac:dyDescent="0.3">
      <c r="A658" s="7"/>
      <c r="B658" s="11"/>
      <c r="D658" s="11" t="s">
        <v>30</v>
      </c>
      <c r="E658" s="11" t="s">
        <v>26</v>
      </c>
      <c r="F658" s="13"/>
      <c r="G658" s="13"/>
      <c r="H658" s="11"/>
      <c r="I658" s="13">
        <f t="shared" si="239"/>
        <v>0</v>
      </c>
      <c r="J658" s="13">
        <v>0</v>
      </c>
      <c r="K658" s="13">
        <f t="shared" si="240"/>
        <v>0</v>
      </c>
      <c r="L658" s="13">
        <f t="shared" si="241"/>
        <v>0</v>
      </c>
      <c r="M658" s="13">
        <f t="shared" si="242"/>
        <v>0</v>
      </c>
      <c r="O658" s="7"/>
      <c r="P658" s="11"/>
      <c r="Q658" s="11"/>
    </row>
    <row r="659" spans="1:17" x14ac:dyDescent="0.3">
      <c r="A659" s="7" t="s">
        <v>31</v>
      </c>
      <c r="B659" s="13">
        <v>756</v>
      </c>
      <c r="D659" s="11" t="s">
        <v>32</v>
      </c>
      <c r="E659" s="11" t="s">
        <v>26</v>
      </c>
      <c r="F659" s="13">
        <v>40.299999999999997</v>
      </c>
      <c r="G659" s="13">
        <f>+B661/1000*F659</f>
        <v>30.344932799999999</v>
      </c>
      <c r="H659" s="12">
        <f>+MAX(0,(F659-18)/F659)</f>
        <v>0.5533498759305211</v>
      </c>
      <c r="I659" s="13">
        <f t="shared" si="239"/>
        <v>16.7913648</v>
      </c>
      <c r="J659" s="13">
        <f>+$M$1</f>
        <v>1569</v>
      </c>
      <c r="K659" s="13">
        <f t="shared" si="240"/>
        <v>14</v>
      </c>
      <c r="L659" s="13">
        <f t="shared" si="241"/>
        <v>1555</v>
      </c>
      <c r="M659" s="13">
        <f t="shared" si="242"/>
        <v>839.47439162171088</v>
      </c>
      <c r="O659" s="7"/>
      <c r="P659" s="11"/>
      <c r="Q659" s="11"/>
    </row>
    <row r="660" spans="1:17" x14ac:dyDescent="0.3">
      <c r="A660" s="7" t="s">
        <v>33</v>
      </c>
      <c r="B660" s="15">
        <v>4.0000000000000001E-3</v>
      </c>
      <c r="D660" s="11"/>
      <c r="E660" s="11"/>
      <c r="F660" s="11"/>
      <c r="G660" s="13"/>
      <c r="H660" s="11"/>
      <c r="I660" s="11"/>
      <c r="J660" s="13"/>
      <c r="K660" s="13"/>
      <c r="L660" s="13"/>
      <c r="M660" s="13"/>
      <c r="O660" s="7"/>
      <c r="P660" s="11"/>
      <c r="Q660" s="11"/>
    </row>
    <row r="661" spans="1:17" x14ac:dyDescent="0.3">
      <c r="A661" s="7" t="s">
        <v>34</v>
      </c>
      <c r="B661" s="13">
        <f>+B659*(1-B660)</f>
        <v>752.976</v>
      </c>
      <c r="D661" s="11"/>
      <c r="E661" s="11"/>
      <c r="F661" s="11"/>
      <c r="G661" s="13"/>
      <c r="H661" s="11"/>
      <c r="I661" s="11"/>
      <c r="J661" s="13"/>
      <c r="K661" s="13"/>
      <c r="L661" s="13"/>
      <c r="M661" s="13"/>
      <c r="O661" s="7" t="s">
        <v>35</v>
      </c>
      <c r="P661" s="13">
        <v>0</v>
      </c>
      <c r="Q661" s="13">
        <v>0</v>
      </c>
    </row>
    <row r="662" spans="1:17" x14ac:dyDescent="0.3">
      <c r="A662" s="7" t="str">
        <f t="shared" ref="A662" si="243">+A649</f>
        <v>Resultado USD / Kg</v>
      </c>
      <c r="B662" s="13">
        <f>+U664/B659</f>
        <v>0</v>
      </c>
      <c r="D662" s="11"/>
      <c r="E662" s="11"/>
      <c r="F662" s="11"/>
      <c r="G662" s="13"/>
      <c r="H662" s="11"/>
      <c r="I662" s="11"/>
      <c r="J662" s="13"/>
      <c r="K662" s="13"/>
      <c r="L662" s="13"/>
      <c r="M662" s="13"/>
      <c r="O662" s="7" t="s">
        <v>37</v>
      </c>
      <c r="P662" s="13">
        <v>0</v>
      </c>
      <c r="Q662" s="13">
        <v>0</v>
      </c>
    </row>
    <row r="663" spans="1:17" x14ac:dyDescent="0.3">
      <c r="A663" s="18" t="s">
        <v>79</v>
      </c>
      <c r="B663" s="13"/>
      <c r="C663" s="20"/>
      <c r="D663" s="11"/>
      <c r="E663" s="11"/>
      <c r="F663" s="11"/>
      <c r="G663" s="13"/>
      <c r="H663" s="11"/>
      <c r="I663" s="11"/>
      <c r="J663" s="13"/>
      <c r="K663" s="13"/>
      <c r="L663" s="13"/>
      <c r="M663" s="13"/>
      <c r="O663" s="7"/>
      <c r="P663" s="11"/>
      <c r="Q663" s="11"/>
    </row>
    <row r="664" spans="1:17" x14ac:dyDescent="0.3">
      <c r="D664" s="11"/>
      <c r="E664" s="11"/>
      <c r="F664" s="11"/>
      <c r="G664" s="13"/>
      <c r="H664" s="11"/>
      <c r="I664" s="11"/>
      <c r="J664" s="13"/>
      <c r="K664" s="13"/>
      <c r="L664" s="13"/>
      <c r="M664" s="13"/>
      <c r="O664" s="7"/>
      <c r="P664" s="11"/>
      <c r="Q664" s="11"/>
    </row>
    <row r="666" spans="1:17" x14ac:dyDescent="0.3">
      <c r="A666" s="6" t="s">
        <v>5</v>
      </c>
      <c r="B666" s="6"/>
      <c r="D666" s="6" t="s">
        <v>6</v>
      </c>
      <c r="E666" s="6"/>
      <c r="F666" s="6"/>
      <c r="G666" s="6"/>
      <c r="H666" s="6"/>
      <c r="I666" s="6"/>
      <c r="J666" s="6"/>
      <c r="K666" s="6"/>
      <c r="L666" s="6"/>
      <c r="M666" s="6"/>
      <c r="O666" s="6" t="s">
        <v>7</v>
      </c>
      <c r="P666" s="6"/>
      <c r="Q666" s="6"/>
    </row>
    <row r="667" spans="1:17" x14ac:dyDescent="0.3">
      <c r="A667" s="7" t="s">
        <v>8</v>
      </c>
      <c r="B667" s="8">
        <f>+B654</f>
        <v>46031</v>
      </c>
      <c r="D667" s="6" t="s">
        <v>9</v>
      </c>
      <c r="E667" s="6"/>
      <c r="F667" s="6"/>
      <c r="G667" s="9" t="s">
        <v>10</v>
      </c>
      <c r="H667" s="9" t="s">
        <v>11</v>
      </c>
      <c r="I667" s="9" t="s">
        <v>12</v>
      </c>
      <c r="J667" s="9" t="s">
        <v>13</v>
      </c>
      <c r="K667" s="9" t="s">
        <v>14</v>
      </c>
      <c r="L667" s="9" t="s">
        <v>15</v>
      </c>
      <c r="M667" s="9" t="s">
        <v>16</v>
      </c>
      <c r="N667" s="10"/>
      <c r="O667" s="9" t="s">
        <v>17</v>
      </c>
      <c r="P667" s="9" t="s">
        <v>18</v>
      </c>
      <c r="Q667" s="9" t="s">
        <v>16</v>
      </c>
    </row>
    <row r="668" spans="1:17" x14ac:dyDescent="0.3">
      <c r="A668" s="7" t="s">
        <v>19</v>
      </c>
      <c r="B668" s="8">
        <f>+B667</f>
        <v>46031</v>
      </c>
      <c r="D668" s="11" t="s">
        <v>20</v>
      </c>
      <c r="E668" s="11" t="s">
        <v>21</v>
      </c>
      <c r="F668" s="12">
        <v>0.37659999999999999</v>
      </c>
      <c r="G668" s="13">
        <f>+F668*B674</f>
        <v>155.60057520000001</v>
      </c>
      <c r="H668" s="12">
        <f>+IF(F668&gt;=20,(F668-3%)/F668,IF(F668&gt;=23,(F668-5.16%)/F668,(F668-3%)/F668))</f>
        <v>0.92033988316516202</v>
      </c>
      <c r="I668" s="13">
        <f>+G668*H668</f>
        <v>143.2054152</v>
      </c>
      <c r="J668" s="13">
        <f>+$G$1</f>
        <v>11803.79</v>
      </c>
      <c r="K668" s="13">
        <f>+K655</f>
        <v>300</v>
      </c>
      <c r="L668" s="13">
        <f>+J668-K668</f>
        <v>11503.79</v>
      </c>
      <c r="M668" s="13">
        <f>+I668*L668/1000</f>
        <v>1647.405023323608</v>
      </c>
      <c r="O668" s="7" t="s">
        <v>22</v>
      </c>
      <c r="P668" s="14" t="s">
        <v>23</v>
      </c>
      <c r="Q668" s="17">
        <f>600*B674/1000</f>
        <v>247.9032</v>
      </c>
    </row>
    <row r="669" spans="1:17" x14ac:dyDescent="0.3">
      <c r="A669" s="7" t="s">
        <v>24</v>
      </c>
      <c r="B669" s="14" t="s">
        <v>88</v>
      </c>
      <c r="D669" s="11" t="s">
        <v>25</v>
      </c>
      <c r="E669" s="11" t="s">
        <v>26</v>
      </c>
      <c r="F669" s="13">
        <v>733.1</v>
      </c>
      <c r="G669" s="13">
        <f>+B674/1000*F669</f>
        <v>302.89639320000003</v>
      </c>
      <c r="H669" s="12">
        <f>+MIN(0.96,(F669-7)/F669)</f>
        <v>0.96</v>
      </c>
      <c r="I669" s="13">
        <f t="shared" ref="I669:I672" si="244">+G669*H669</f>
        <v>290.78053747200005</v>
      </c>
      <c r="J669" s="13">
        <f>+$I$1</f>
        <v>4500</v>
      </c>
      <c r="K669" s="13">
        <f t="shared" ref="K669:K672" si="245">+K656</f>
        <v>5</v>
      </c>
      <c r="L669" s="13">
        <f t="shared" ref="L669:L672" si="246">+J669-K669</f>
        <v>4495</v>
      </c>
      <c r="M669" s="13">
        <f>+I669*L669/31.1034768</f>
        <v>42022.907096245923</v>
      </c>
      <c r="O669" s="7" t="s">
        <v>27</v>
      </c>
      <c r="P669" s="11">
        <v>100</v>
      </c>
      <c r="Q669" s="11">
        <f>+B672*P669/1000</f>
        <v>41.4</v>
      </c>
    </row>
    <row r="670" spans="1:17" x14ac:dyDescent="0.3">
      <c r="A670" s="7" t="s">
        <v>28</v>
      </c>
      <c r="B670" s="11">
        <v>303</v>
      </c>
      <c r="D670" s="11" t="s">
        <v>29</v>
      </c>
      <c r="E670" s="11" t="s">
        <v>26</v>
      </c>
      <c r="F670" s="13">
        <v>2544</v>
      </c>
      <c r="G670" s="13">
        <f>+B674/1000*F670</f>
        <v>1051.1095680000001</v>
      </c>
      <c r="H670" s="12">
        <f>+MIN(0.95,MAX(0,(F670-100)/F670))</f>
        <v>0.95</v>
      </c>
      <c r="I670" s="13">
        <f t="shared" si="244"/>
        <v>998.5540896</v>
      </c>
      <c r="J670" s="13">
        <f>+$K$1</f>
        <v>64.34</v>
      </c>
      <c r="K670" s="13">
        <f t="shared" si="245"/>
        <v>0.5</v>
      </c>
      <c r="L670" s="13">
        <f t="shared" si="246"/>
        <v>63.84</v>
      </c>
      <c r="M670" s="13">
        <f t="shared" ref="M670:M672" si="247">+I670*L670/31.1034768</f>
        <v>2049.5359245518175</v>
      </c>
      <c r="O670" s="7"/>
      <c r="P670" s="11"/>
      <c r="Q670" s="11"/>
    </row>
    <row r="671" spans="1:17" x14ac:dyDescent="0.3">
      <c r="A671" s="7"/>
      <c r="B671" s="11"/>
      <c r="D671" s="11" t="s">
        <v>30</v>
      </c>
      <c r="E671" s="11" t="s">
        <v>26</v>
      </c>
      <c r="F671" s="13"/>
      <c r="G671" s="13"/>
      <c r="H671" s="11"/>
      <c r="I671" s="13">
        <f t="shared" si="244"/>
        <v>0</v>
      </c>
      <c r="J671" s="13">
        <v>0</v>
      </c>
      <c r="K671" s="13">
        <f t="shared" si="245"/>
        <v>0</v>
      </c>
      <c r="L671" s="13">
        <f t="shared" si="246"/>
        <v>0</v>
      </c>
      <c r="M671" s="13">
        <f t="shared" si="247"/>
        <v>0</v>
      </c>
      <c r="O671" s="7"/>
      <c r="P671" s="11"/>
      <c r="Q671" s="11"/>
    </row>
    <row r="672" spans="1:17" x14ac:dyDescent="0.3">
      <c r="A672" s="7" t="s">
        <v>31</v>
      </c>
      <c r="B672" s="13">
        <v>414</v>
      </c>
      <c r="D672" s="11" t="s">
        <v>32</v>
      </c>
      <c r="E672" s="11" t="s">
        <v>26</v>
      </c>
      <c r="F672" s="13">
        <v>65.7</v>
      </c>
      <c r="G672" s="13">
        <f>+B674/1000*F672</f>
        <v>27.145400400000003</v>
      </c>
      <c r="H672" s="12">
        <f>+MAX(0,(F672-18)/F672)</f>
        <v>0.72602739726027399</v>
      </c>
      <c r="I672" s="13">
        <f t="shared" si="244"/>
        <v>19.708304400000003</v>
      </c>
      <c r="J672" s="13">
        <f>+$M$1</f>
        <v>1569</v>
      </c>
      <c r="K672" s="13">
        <f t="shared" si="245"/>
        <v>14</v>
      </c>
      <c r="L672" s="13">
        <f t="shared" si="246"/>
        <v>1555</v>
      </c>
      <c r="M672" s="13">
        <f t="shared" si="247"/>
        <v>985.30506859606135</v>
      </c>
      <c r="O672" s="7"/>
      <c r="P672" s="11"/>
      <c r="Q672" s="11"/>
    </row>
    <row r="673" spans="1:17" x14ac:dyDescent="0.3">
      <c r="A673" s="7" t="s">
        <v>33</v>
      </c>
      <c r="B673" s="15">
        <v>2E-3</v>
      </c>
      <c r="D673" s="11"/>
      <c r="E673" s="11"/>
      <c r="F673" s="11"/>
      <c r="G673" s="13"/>
      <c r="H673" s="11"/>
      <c r="I673" s="11"/>
      <c r="J673" s="13"/>
      <c r="K673" s="13"/>
      <c r="L673" s="13"/>
      <c r="M673" s="13"/>
      <c r="O673" s="7"/>
      <c r="P673" s="11"/>
      <c r="Q673" s="11"/>
    </row>
    <row r="674" spans="1:17" x14ac:dyDescent="0.3">
      <c r="A674" s="7" t="s">
        <v>34</v>
      </c>
      <c r="B674" s="13">
        <f>+B672*(1-B673)</f>
        <v>413.17200000000003</v>
      </c>
      <c r="D674" s="11"/>
      <c r="E674" s="11"/>
      <c r="F674" s="11"/>
      <c r="G674" s="13"/>
      <c r="H674" s="11"/>
      <c r="I674" s="11"/>
      <c r="J674" s="13"/>
      <c r="K674" s="13"/>
      <c r="L674" s="13"/>
      <c r="M674" s="13"/>
      <c r="O674" s="7" t="s">
        <v>35</v>
      </c>
      <c r="P674" s="13">
        <v>0</v>
      </c>
      <c r="Q674" s="13">
        <v>0</v>
      </c>
    </row>
    <row r="675" spans="1:17" x14ac:dyDescent="0.3">
      <c r="A675" s="7" t="str">
        <f t="shared" ref="A675" si="248">+A662</f>
        <v>Resultado USD / Kg</v>
      </c>
      <c r="B675" s="13">
        <f>+U677/B672</f>
        <v>0</v>
      </c>
      <c r="D675" s="11"/>
      <c r="E675" s="11"/>
      <c r="F675" s="11"/>
      <c r="G675" s="13"/>
      <c r="H675" s="11"/>
      <c r="I675" s="11"/>
      <c r="J675" s="13"/>
      <c r="K675" s="13"/>
      <c r="L675" s="13"/>
      <c r="M675" s="13"/>
      <c r="O675" s="7" t="s">
        <v>37</v>
      </c>
      <c r="P675" s="13">
        <v>0</v>
      </c>
      <c r="Q675" s="13">
        <v>0</v>
      </c>
    </row>
    <row r="676" spans="1:17" x14ac:dyDescent="0.3">
      <c r="A676" s="18" t="s">
        <v>47</v>
      </c>
      <c r="B676" s="13"/>
      <c r="C676" s="20"/>
      <c r="D676" s="11"/>
      <c r="E676" s="11"/>
      <c r="F676" s="11"/>
      <c r="G676" s="13"/>
      <c r="H676" s="11"/>
      <c r="I676" s="11"/>
      <c r="J676" s="13"/>
      <c r="K676" s="13"/>
      <c r="L676" s="13"/>
      <c r="M676" s="13"/>
      <c r="O676" s="7"/>
      <c r="P676" s="11"/>
      <c r="Q676" s="11"/>
    </row>
    <row r="677" spans="1:17" x14ac:dyDescent="0.3">
      <c r="D677" s="11"/>
      <c r="E677" s="11"/>
      <c r="F677" s="11"/>
      <c r="G677" s="13"/>
      <c r="H677" s="11"/>
      <c r="I677" s="11"/>
      <c r="J677" s="13"/>
      <c r="K677" s="13"/>
      <c r="L677" s="13"/>
      <c r="M677" s="13"/>
      <c r="O677" s="7"/>
      <c r="P677" s="11"/>
      <c r="Q677" s="11"/>
    </row>
    <row r="679" spans="1:17" x14ac:dyDescent="0.3">
      <c r="A679" s="6" t="s">
        <v>5</v>
      </c>
      <c r="B679" s="6"/>
      <c r="D679" s="6" t="s">
        <v>6</v>
      </c>
      <c r="E679" s="6"/>
      <c r="F679" s="6"/>
      <c r="G679" s="6"/>
      <c r="H679" s="6"/>
      <c r="I679" s="6"/>
      <c r="J679" s="6"/>
      <c r="K679" s="6"/>
      <c r="L679" s="6"/>
      <c r="M679" s="6"/>
      <c r="O679" s="6" t="s">
        <v>7</v>
      </c>
      <c r="P679" s="6"/>
      <c r="Q679" s="6"/>
    </row>
    <row r="680" spans="1:17" x14ac:dyDescent="0.3">
      <c r="A680" s="7" t="s">
        <v>8</v>
      </c>
      <c r="B680" s="8">
        <f>+B667</f>
        <v>46031</v>
      </c>
      <c r="D680" s="6" t="s">
        <v>9</v>
      </c>
      <c r="E680" s="6"/>
      <c r="F680" s="6"/>
      <c r="G680" s="9" t="s">
        <v>10</v>
      </c>
      <c r="H680" s="9" t="s">
        <v>11</v>
      </c>
      <c r="I680" s="9" t="s">
        <v>12</v>
      </c>
      <c r="J680" s="9" t="s">
        <v>13</v>
      </c>
      <c r="K680" s="9" t="s">
        <v>14</v>
      </c>
      <c r="L680" s="9" t="s">
        <v>15</v>
      </c>
      <c r="M680" s="9" t="s">
        <v>16</v>
      </c>
      <c r="N680" s="10"/>
      <c r="O680" s="9" t="s">
        <v>17</v>
      </c>
      <c r="P680" s="9" t="s">
        <v>18</v>
      </c>
      <c r="Q680" s="9" t="s">
        <v>16</v>
      </c>
    </row>
    <row r="681" spans="1:17" x14ac:dyDescent="0.3">
      <c r="A681" s="7" t="s">
        <v>19</v>
      </c>
      <c r="B681" s="8">
        <f>+B680</f>
        <v>46031</v>
      </c>
      <c r="D681" s="11" t="s">
        <v>20</v>
      </c>
      <c r="E681" s="11" t="s">
        <v>21</v>
      </c>
      <c r="F681" s="12">
        <v>0.37969999999999998</v>
      </c>
      <c r="G681" s="13">
        <f>+F681*B687</f>
        <v>196.0945462</v>
      </c>
      <c r="H681" s="12">
        <f>+IF(F681&gt;=20,(F681-3%)/F681,IF(F681&gt;=23,(F681-5.16%)/F681,(F681-3%)/F681))</f>
        <v>0.9209902554648407</v>
      </c>
      <c r="I681" s="13">
        <f>+G681*H681</f>
        <v>180.60116619999999</v>
      </c>
      <c r="J681" s="13">
        <f>+$G$1</f>
        <v>11803.79</v>
      </c>
      <c r="K681" s="13">
        <f>+K668</f>
        <v>300</v>
      </c>
      <c r="L681" s="13">
        <f>+J681-K681</f>
        <v>11503.79</v>
      </c>
      <c r="M681" s="13">
        <f>+I681*L681/1000</f>
        <v>2077.5978897198979</v>
      </c>
      <c r="O681" s="7" t="s">
        <v>22</v>
      </c>
      <c r="P681" s="14" t="s">
        <v>23</v>
      </c>
      <c r="Q681" s="17">
        <f>600*B687/1000</f>
        <v>309.86760000000004</v>
      </c>
    </row>
    <row r="682" spans="1:17" x14ac:dyDescent="0.3">
      <c r="A682" s="7" t="s">
        <v>24</v>
      </c>
      <c r="B682" s="14" t="s">
        <v>89</v>
      </c>
      <c r="D682" s="11" t="s">
        <v>25</v>
      </c>
      <c r="E682" s="11" t="s">
        <v>26</v>
      </c>
      <c r="F682" s="13">
        <v>563</v>
      </c>
      <c r="G682" s="13">
        <f>+B687/1000*F682</f>
        <v>290.75909800000005</v>
      </c>
      <c r="H682" s="12">
        <f>+MIN(0.96,(F682-7)/F682)</f>
        <v>0.96</v>
      </c>
      <c r="I682" s="13">
        <f t="shared" ref="I682:I685" si="249">+G682*H682</f>
        <v>279.12873408000002</v>
      </c>
      <c r="J682" s="13">
        <f>+$I$1</f>
        <v>4500</v>
      </c>
      <c r="K682" s="13">
        <f t="shared" ref="K682:K685" si="250">+K669</f>
        <v>5</v>
      </c>
      <c r="L682" s="13">
        <f t="shared" ref="L682:L685" si="251">+J682-K682</f>
        <v>4495</v>
      </c>
      <c r="M682" s="13">
        <f>+I682*L682/31.1034768</f>
        <v>40339.016366479009</v>
      </c>
      <c r="O682" s="7" t="s">
        <v>27</v>
      </c>
      <c r="P682" s="11">
        <v>100</v>
      </c>
      <c r="Q682" s="11">
        <f>+B685*P682/1000</f>
        <v>51.8</v>
      </c>
    </row>
    <row r="683" spans="1:17" x14ac:dyDescent="0.3">
      <c r="A683" s="7" t="s">
        <v>28</v>
      </c>
      <c r="B683" s="11">
        <v>304</v>
      </c>
      <c r="D683" s="11" t="s">
        <v>29</v>
      </c>
      <c r="E683" s="11" t="s">
        <v>26</v>
      </c>
      <c r="F683" s="13">
        <v>2367</v>
      </c>
      <c r="G683" s="13">
        <f>+B687/1000*F683</f>
        <v>1222.4276820000002</v>
      </c>
      <c r="H683" s="12">
        <f>+MIN(0.95,MAX(0,(F683-100)/F683))</f>
        <v>0.95</v>
      </c>
      <c r="I683" s="13">
        <f t="shared" si="249"/>
        <v>1161.3062979000001</v>
      </c>
      <c r="J683" s="13">
        <f>+$K$1</f>
        <v>64.34</v>
      </c>
      <c r="K683" s="13">
        <f t="shared" si="250"/>
        <v>0.5</v>
      </c>
      <c r="L683" s="13">
        <f t="shared" si="251"/>
        <v>63.84</v>
      </c>
      <c r="M683" s="13">
        <f t="shared" ref="M683:M685" si="252">+I683*L683/31.1034768</f>
        <v>2383.5854279138343</v>
      </c>
      <c r="O683" s="7"/>
      <c r="P683" s="11"/>
      <c r="Q683" s="11"/>
    </row>
    <row r="684" spans="1:17" x14ac:dyDescent="0.3">
      <c r="A684" s="7"/>
      <c r="B684" s="11"/>
      <c r="D684" s="11" t="s">
        <v>30</v>
      </c>
      <c r="E684" s="11" t="s">
        <v>26</v>
      </c>
      <c r="F684" s="13"/>
      <c r="G684" s="13"/>
      <c r="H684" s="11"/>
      <c r="I684" s="13">
        <f t="shared" si="249"/>
        <v>0</v>
      </c>
      <c r="J684" s="13">
        <v>0</v>
      </c>
      <c r="K684" s="13">
        <f t="shared" si="250"/>
        <v>0</v>
      </c>
      <c r="L684" s="13">
        <f t="shared" si="251"/>
        <v>0</v>
      </c>
      <c r="M684" s="13">
        <f t="shared" si="252"/>
        <v>0</v>
      </c>
      <c r="O684" s="7"/>
      <c r="P684" s="11"/>
      <c r="Q684" s="11"/>
    </row>
    <row r="685" spans="1:17" x14ac:dyDescent="0.3">
      <c r="A685" s="7" t="s">
        <v>31</v>
      </c>
      <c r="B685" s="13">
        <v>518</v>
      </c>
      <c r="D685" s="11" t="s">
        <v>32</v>
      </c>
      <c r="E685" s="11" t="s">
        <v>26</v>
      </c>
      <c r="F685" s="13">
        <v>32.4</v>
      </c>
      <c r="G685" s="13">
        <f>+B687/1000*F685</f>
        <v>16.7328504</v>
      </c>
      <c r="H685" s="12">
        <f>+MAX(0,(F685-18)/F685)</f>
        <v>0.44444444444444442</v>
      </c>
      <c r="I685" s="13">
        <f t="shared" si="249"/>
        <v>7.4368223999999996</v>
      </c>
      <c r="J685" s="13">
        <f>+$M$1</f>
        <v>1569</v>
      </c>
      <c r="K685" s="13">
        <f t="shared" si="250"/>
        <v>14</v>
      </c>
      <c r="L685" s="13">
        <f t="shared" si="251"/>
        <v>1555</v>
      </c>
      <c r="M685" s="13">
        <f t="shared" si="252"/>
        <v>371.79955496164979</v>
      </c>
      <c r="O685" s="7"/>
      <c r="P685" s="11"/>
      <c r="Q685" s="11"/>
    </row>
    <row r="686" spans="1:17" x14ac:dyDescent="0.3">
      <c r="A686" s="7" t="s">
        <v>33</v>
      </c>
      <c r="B686" s="15">
        <v>3.0000000000000001E-3</v>
      </c>
      <c r="D686" s="11"/>
      <c r="E686" s="11"/>
      <c r="F686" s="11"/>
      <c r="G686" s="13"/>
      <c r="H686" s="11"/>
      <c r="I686" s="11"/>
      <c r="J686" s="13"/>
      <c r="K686" s="13"/>
      <c r="L686" s="13"/>
      <c r="M686" s="13"/>
      <c r="O686" s="7"/>
      <c r="P686" s="11"/>
      <c r="Q686" s="11"/>
    </row>
    <row r="687" spans="1:17" x14ac:dyDescent="0.3">
      <c r="A687" s="7" t="s">
        <v>34</v>
      </c>
      <c r="B687" s="13">
        <f>+B685*(1-B686)</f>
        <v>516.44600000000003</v>
      </c>
      <c r="D687" s="11"/>
      <c r="E687" s="11"/>
      <c r="F687" s="11"/>
      <c r="G687" s="13"/>
      <c r="H687" s="11"/>
      <c r="I687" s="11"/>
      <c r="J687" s="13"/>
      <c r="K687" s="13"/>
      <c r="L687" s="13"/>
      <c r="M687" s="13"/>
      <c r="O687" s="7" t="s">
        <v>35</v>
      </c>
      <c r="P687" s="13">
        <v>0</v>
      </c>
      <c r="Q687" s="13">
        <v>0</v>
      </c>
    </row>
    <row r="688" spans="1:17" x14ac:dyDescent="0.3">
      <c r="A688" s="7" t="str">
        <f t="shared" ref="A688" si="253">+A675</f>
        <v>Resultado USD / Kg</v>
      </c>
      <c r="B688" s="13">
        <f>+U690/B685</f>
        <v>0</v>
      </c>
      <c r="D688" s="11"/>
      <c r="E688" s="11"/>
      <c r="F688" s="11"/>
      <c r="G688" s="13"/>
      <c r="H688" s="11"/>
      <c r="I688" s="11"/>
      <c r="J688" s="13"/>
      <c r="K688" s="13"/>
      <c r="L688" s="13"/>
      <c r="M688" s="13"/>
      <c r="O688" s="7" t="s">
        <v>37</v>
      </c>
      <c r="P688" s="13">
        <v>0</v>
      </c>
      <c r="Q688" s="13">
        <v>0</v>
      </c>
    </row>
    <row r="689" spans="1:17" x14ac:dyDescent="0.3">
      <c r="A689" s="18" t="s">
        <v>42</v>
      </c>
      <c r="B689" s="13"/>
      <c r="C689" s="20"/>
      <c r="D689" s="11"/>
      <c r="E689" s="11"/>
      <c r="F689" s="11"/>
      <c r="G689" s="13"/>
      <c r="H689" s="11"/>
      <c r="I689" s="11"/>
      <c r="J689" s="13"/>
      <c r="K689" s="13"/>
      <c r="L689" s="13"/>
      <c r="M689" s="13"/>
      <c r="O689" s="7"/>
      <c r="P689" s="11"/>
      <c r="Q689" s="11"/>
    </row>
    <row r="690" spans="1:17" x14ac:dyDescent="0.3">
      <c r="D690" s="11"/>
      <c r="E690" s="11"/>
      <c r="F690" s="11"/>
      <c r="G690" s="13"/>
      <c r="H690" s="11"/>
      <c r="I690" s="11"/>
      <c r="J690" s="13"/>
      <c r="K690" s="13"/>
      <c r="L690" s="13"/>
      <c r="M690" s="13"/>
      <c r="O690" s="7"/>
      <c r="P690" s="11"/>
      <c r="Q690" s="11"/>
    </row>
  </sheetData>
  <mergeCells count="212">
    <mergeCell ref="D667:F667"/>
    <mergeCell ref="A679:B679"/>
    <mergeCell ref="D679:M679"/>
    <mergeCell ref="O679:Q679"/>
    <mergeCell ref="D680:F680"/>
    <mergeCell ref="D641:F641"/>
    <mergeCell ref="A653:B653"/>
    <mergeCell ref="D653:M653"/>
    <mergeCell ref="O653:Q653"/>
    <mergeCell ref="D654:F654"/>
    <mergeCell ref="A666:B666"/>
    <mergeCell ref="D666:M666"/>
    <mergeCell ref="O666:Q666"/>
    <mergeCell ref="D615:F615"/>
    <mergeCell ref="A627:B627"/>
    <mergeCell ref="D627:M627"/>
    <mergeCell ref="O627:Q627"/>
    <mergeCell ref="D628:F628"/>
    <mergeCell ref="A640:B640"/>
    <mergeCell ref="D640:M640"/>
    <mergeCell ref="O640:Q640"/>
    <mergeCell ref="D589:F589"/>
    <mergeCell ref="A601:B601"/>
    <mergeCell ref="D601:M601"/>
    <mergeCell ref="O601:Q601"/>
    <mergeCell ref="D602:F602"/>
    <mergeCell ref="A614:B614"/>
    <mergeCell ref="D614:M614"/>
    <mergeCell ref="O614:Q614"/>
    <mergeCell ref="D563:F563"/>
    <mergeCell ref="A575:B575"/>
    <mergeCell ref="D575:M575"/>
    <mergeCell ref="O575:Q575"/>
    <mergeCell ref="D576:F576"/>
    <mergeCell ref="A588:B588"/>
    <mergeCell ref="D588:M588"/>
    <mergeCell ref="O588:Q588"/>
    <mergeCell ref="D537:F537"/>
    <mergeCell ref="A549:B549"/>
    <mergeCell ref="D549:M549"/>
    <mergeCell ref="O549:Q549"/>
    <mergeCell ref="D550:F550"/>
    <mergeCell ref="A562:B562"/>
    <mergeCell ref="D562:M562"/>
    <mergeCell ref="O562:Q562"/>
    <mergeCell ref="D511:F511"/>
    <mergeCell ref="A523:B523"/>
    <mergeCell ref="D523:M523"/>
    <mergeCell ref="O523:Q523"/>
    <mergeCell ref="D524:F524"/>
    <mergeCell ref="A536:B536"/>
    <mergeCell ref="D536:M536"/>
    <mergeCell ref="O536:Q536"/>
    <mergeCell ref="D485:F485"/>
    <mergeCell ref="A497:B497"/>
    <mergeCell ref="D497:M497"/>
    <mergeCell ref="O497:Q497"/>
    <mergeCell ref="D498:F498"/>
    <mergeCell ref="A510:B510"/>
    <mergeCell ref="D510:M510"/>
    <mergeCell ref="O510:Q510"/>
    <mergeCell ref="D459:F459"/>
    <mergeCell ref="A471:B471"/>
    <mergeCell ref="D471:M471"/>
    <mergeCell ref="O471:Q471"/>
    <mergeCell ref="D472:F472"/>
    <mergeCell ref="A484:B484"/>
    <mergeCell ref="D484:M484"/>
    <mergeCell ref="O484:Q484"/>
    <mergeCell ref="D433:F433"/>
    <mergeCell ref="A445:B445"/>
    <mergeCell ref="D445:M445"/>
    <mergeCell ref="O445:Q445"/>
    <mergeCell ref="D446:F446"/>
    <mergeCell ref="A458:B458"/>
    <mergeCell ref="D458:M458"/>
    <mergeCell ref="O458:Q458"/>
    <mergeCell ref="D407:F407"/>
    <mergeCell ref="A419:B419"/>
    <mergeCell ref="D419:M419"/>
    <mergeCell ref="O419:Q419"/>
    <mergeCell ref="D420:F420"/>
    <mergeCell ref="A432:B432"/>
    <mergeCell ref="D432:M432"/>
    <mergeCell ref="O432:Q432"/>
    <mergeCell ref="D381:F381"/>
    <mergeCell ref="A393:B393"/>
    <mergeCell ref="D393:M393"/>
    <mergeCell ref="O393:Q393"/>
    <mergeCell ref="D394:F394"/>
    <mergeCell ref="A406:B406"/>
    <mergeCell ref="D406:M406"/>
    <mergeCell ref="O406:Q406"/>
    <mergeCell ref="D355:F355"/>
    <mergeCell ref="A367:B367"/>
    <mergeCell ref="D367:M367"/>
    <mergeCell ref="O367:Q367"/>
    <mergeCell ref="D368:F368"/>
    <mergeCell ref="A380:B380"/>
    <mergeCell ref="D380:M380"/>
    <mergeCell ref="O380:Q380"/>
    <mergeCell ref="D329:F329"/>
    <mergeCell ref="A341:B341"/>
    <mergeCell ref="D341:M341"/>
    <mergeCell ref="O341:Q341"/>
    <mergeCell ref="D342:F342"/>
    <mergeCell ref="A354:B354"/>
    <mergeCell ref="D354:M354"/>
    <mergeCell ref="O354:Q354"/>
    <mergeCell ref="D303:F303"/>
    <mergeCell ref="A315:B315"/>
    <mergeCell ref="D315:M315"/>
    <mergeCell ref="O315:Q315"/>
    <mergeCell ref="D316:F316"/>
    <mergeCell ref="A328:B328"/>
    <mergeCell ref="D328:M328"/>
    <mergeCell ref="O328:Q328"/>
    <mergeCell ref="D277:F277"/>
    <mergeCell ref="A289:B289"/>
    <mergeCell ref="D289:M289"/>
    <mergeCell ref="O289:Q289"/>
    <mergeCell ref="D290:F290"/>
    <mergeCell ref="A302:B302"/>
    <mergeCell ref="D302:M302"/>
    <mergeCell ref="O302:Q302"/>
    <mergeCell ref="D251:F251"/>
    <mergeCell ref="A263:B263"/>
    <mergeCell ref="D263:M263"/>
    <mergeCell ref="O263:Q263"/>
    <mergeCell ref="D264:F264"/>
    <mergeCell ref="A276:B276"/>
    <mergeCell ref="D276:M276"/>
    <mergeCell ref="O276:Q276"/>
    <mergeCell ref="D225:F225"/>
    <mergeCell ref="A237:B237"/>
    <mergeCell ref="D237:M237"/>
    <mergeCell ref="O237:Q237"/>
    <mergeCell ref="D238:F238"/>
    <mergeCell ref="A250:B250"/>
    <mergeCell ref="D250:M250"/>
    <mergeCell ref="O250:Q250"/>
    <mergeCell ref="D199:F199"/>
    <mergeCell ref="A211:B211"/>
    <mergeCell ref="D211:M211"/>
    <mergeCell ref="O211:Q211"/>
    <mergeCell ref="D212:F212"/>
    <mergeCell ref="A224:B224"/>
    <mergeCell ref="D224:M224"/>
    <mergeCell ref="O224:Q224"/>
    <mergeCell ref="D173:F173"/>
    <mergeCell ref="A185:B185"/>
    <mergeCell ref="D185:M185"/>
    <mergeCell ref="O185:Q185"/>
    <mergeCell ref="D186:F186"/>
    <mergeCell ref="A198:B198"/>
    <mergeCell ref="D198:M198"/>
    <mergeCell ref="O198:Q198"/>
    <mergeCell ref="D147:F147"/>
    <mergeCell ref="A159:B159"/>
    <mergeCell ref="D159:M159"/>
    <mergeCell ref="O159:Q159"/>
    <mergeCell ref="D160:F160"/>
    <mergeCell ref="A172:B172"/>
    <mergeCell ref="D172:M172"/>
    <mergeCell ref="O172:Q172"/>
    <mergeCell ref="D121:F121"/>
    <mergeCell ref="A133:B133"/>
    <mergeCell ref="D133:M133"/>
    <mergeCell ref="O133:Q133"/>
    <mergeCell ref="D134:F134"/>
    <mergeCell ref="A146:B146"/>
    <mergeCell ref="D146:M146"/>
    <mergeCell ref="O146:Q146"/>
    <mergeCell ref="D95:F95"/>
    <mergeCell ref="A107:B107"/>
    <mergeCell ref="D107:M107"/>
    <mergeCell ref="O107:Q107"/>
    <mergeCell ref="D108:F108"/>
    <mergeCell ref="A120:B120"/>
    <mergeCell ref="D120:M120"/>
    <mergeCell ref="O120:Q120"/>
    <mergeCell ref="D69:F69"/>
    <mergeCell ref="A81:B81"/>
    <mergeCell ref="D81:M81"/>
    <mergeCell ref="O81:Q81"/>
    <mergeCell ref="D82:F82"/>
    <mergeCell ref="A94:B94"/>
    <mergeCell ref="D94:M94"/>
    <mergeCell ref="O94:Q94"/>
    <mergeCell ref="D43:F43"/>
    <mergeCell ref="A55:B55"/>
    <mergeCell ref="D55:M55"/>
    <mergeCell ref="O55:Q55"/>
    <mergeCell ref="D56:F56"/>
    <mergeCell ref="A68:B68"/>
    <mergeCell ref="D68:M68"/>
    <mergeCell ref="O68:Q68"/>
    <mergeCell ref="D17:F17"/>
    <mergeCell ref="A29:B29"/>
    <mergeCell ref="D29:M29"/>
    <mergeCell ref="O29:Q29"/>
    <mergeCell ref="D30:F30"/>
    <mergeCell ref="A42:B42"/>
    <mergeCell ref="D42:M42"/>
    <mergeCell ref="O42:Q42"/>
    <mergeCell ref="A3:B3"/>
    <mergeCell ref="D3:M3"/>
    <mergeCell ref="O3:Q3"/>
    <mergeCell ref="D4:F4"/>
    <mergeCell ref="A16:B16"/>
    <mergeCell ref="D16:M16"/>
    <mergeCell ref="O16:Q16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</dc:creator>
  <cp:lastModifiedBy>Dell</cp:lastModifiedBy>
  <dcterms:created xsi:type="dcterms:W3CDTF">2026-06-19T13:45:54Z</dcterms:created>
  <dcterms:modified xsi:type="dcterms:W3CDTF">2026-06-19T13:46:20Z</dcterms:modified>
</cp:coreProperties>
</file>